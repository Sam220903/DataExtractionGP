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ja 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2">
    <font>
      <name val="Calibri"/>
      <family val="2"/>
      <color theme="1"/>
      <sz val="11"/>
      <scheme val="minor"/>
    </font>
    <font>
      <b val="1"/>
    </font>
  </fonts>
  <fills count="3">
    <fill>
      <patternFill/>
    </fill>
    <fill>
      <patternFill patternType="gray125"/>
    </fill>
    <fill>
      <patternFill patternType="solid">
        <fgColor rgb="00FFFF00"/>
        <bgColor rgb="00FFFF00"/>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1" fillId="2" borderId="0" pivotButton="0" quotePrefix="0" xfId="0"/>
    <xf numFmtId="165" fontId="0" fillId="0" borderId="0" pivotButton="0" quotePrefix="0" xfId="0"/>
    <xf numFmtId="9" fontId="0" fillId="0" borderId="0" pivotButton="0" quotePrefix="0" xfId="0"/>
    <xf numFmtId="1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841"/>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s>
  <sheetData>
    <row r="1">
      <c r="A1" s="1" t="inlineStr">
        <is>
          <t>Año Legislatura</t>
        </is>
      </c>
      <c r="B1" s="1" t="inlineStr">
        <is>
          <t>Periodo</t>
        </is>
      </c>
      <c r="C1" s="2" t="inlineStr">
        <is>
          <t>Folio periodo</t>
        </is>
      </c>
      <c r="D1" s="2" t="inlineStr">
        <is>
          <t>Folio legislatura</t>
        </is>
      </c>
      <c r="E1" s="1" t="inlineStr">
        <is>
          <t>Fecha</t>
        </is>
      </c>
      <c r="F1" s="1" t="inlineStr">
        <is>
          <t>Tipo</t>
        </is>
      </c>
      <c r="G1" s="1" t="inlineStr">
        <is>
          <t>Título</t>
        </is>
      </c>
      <c r="H1" s="2" t="inlineStr">
        <is>
          <t>Tema 1</t>
        </is>
      </c>
      <c r="I1" s="2" t="inlineStr">
        <is>
          <t>Tema</t>
        </is>
      </c>
      <c r="J1" s="1" t="inlineStr">
        <is>
          <t>A favor</t>
        </is>
      </c>
      <c r="K1" s="1" t="inlineStr">
        <is>
          <t>Contra</t>
        </is>
      </c>
      <c r="L1" s="1" t="inlineStr">
        <is>
          <t>Abstenciones</t>
        </is>
      </c>
      <c r="M1" s="1" t="inlineStr">
        <is>
          <t>Ausentes</t>
        </is>
      </c>
      <c r="N1" s="1" t="inlineStr">
        <is>
          <t>Total</t>
        </is>
      </c>
      <c r="O1" s="1" t="inlineStr">
        <is>
          <t>Porcentaje de Participación</t>
        </is>
      </c>
      <c r="P1" s="1" t="inlineStr">
        <is>
          <t>Unidad</t>
        </is>
      </c>
    </row>
    <row r="2">
      <c r="A2" t="inlineStr">
        <is>
          <t>Tercer año</t>
        </is>
      </c>
      <c r="B2" t="inlineStr">
        <is>
          <t>Tercer periodo</t>
        </is>
      </c>
      <c r="C2" t="n">
        <v>1</v>
      </c>
      <c r="D2" t="n">
        <v>1</v>
      </c>
      <c r="E2" s="3" t="n">
        <v>45545</v>
      </c>
      <c r="F2" t="inlineStr">
        <is>
          <t>Punto de Acuerdo</t>
        </is>
      </c>
      <c r="G2" t="inlineStr">
        <is>
          <t>Elección de la Mesa Directiva de la Sexagésima Segunda Legislatura</t>
        </is>
      </c>
      <c r="H2" t="n">
        <v>19</v>
      </c>
      <c r="I2" t="inlineStr">
        <is>
          <t>Internos del Congreso</t>
        </is>
      </c>
      <c r="J2" t="n">
        <v>40</v>
      </c>
      <c r="K2" t="n">
        <v>0</v>
      </c>
      <c r="L2" t="n">
        <v>0</v>
      </c>
      <c r="M2" t="n">
        <v>0</v>
      </c>
      <c r="N2">
        <f>SUM(J2:M2)</f>
        <v/>
      </c>
      <c r="O2" s="4">
        <f>SUM(J2:L2)/SUM(J2:M2)</f>
        <v/>
      </c>
      <c r="P2" s="5">
        <f>MAX(J2:L2)/SUM(J2:L2)</f>
        <v/>
      </c>
    </row>
    <row r="3">
      <c r="A3" t="inlineStr">
        <is>
          <t>Primer año</t>
        </is>
      </c>
      <c r="B3" t="inlineStr">
        <is>
          <t>Primer periodo</t>
        </is>
      </c>
      <c r="C3" t="n">
        <v>1</v>
      </c>
      <c r="D3" t="n">
        <v>1</v>
      </c>
      <c r="E3" s="3" t="n">
        <v>45554</v>
      </c>
      <c r="F3" t="inlineStr">
        <is>
          <t>Punto de Acuerdo</t>
        </is>
      </c>
      <c r="G3" t="inlineStr">
        <is>
          <t>Acuerdo por el cual la elección de la diputada Laura Artemisa García Chávez para presidir la Junta de Gobierno y Coordinación Política</t>
        </is>
      </c>
      <c r="H3" t="n">
        <v>19</v>
      </c>
      <c r="I3" t="inlineStr">
        <is>
          <t>Internos del Congreso</t>
        </is>
      </c>
      <c r="J3" t="n">
        <v>40</v>
      </c>
      <c r="K3" t="n">
        <v>0</v>
      </c>
      <c r="L3" t="n">
        <v>0</v>
      </c>
      <c r="M3" t="n">
        <v>0</v>
      </c>
      <c r="N3">
        <f>SUM(J3:M3)</f>
        <v/>
      </c>
      <c r="O3" s="4">
        <f>SUM(J3:L3)/SUM(J3:M3)</f>
        <v/>
      </c>
      <c r="P3" s="5">
        <f>MAX(J3:L3)/SUM(J3:L3)</f>
        <v/>
      </c>
    </row>
    <row r="4">
      <c r="A4" t="inlineStr">
        <is>
          <t>Primer año</t>
        </is>
      </c>
      <c r="B4" t="inlineStr">
        <is>
          <t>Primer periodo</t>
        </is>
      </c>
      <c r="C4" t="n">
        <v>2</v>
      </c>
      <c r="D4" t="n">
        <v>2</v>
      </c>
      <c r="E4" s="3" t="n">
        <v>45561</v>
      </c>
      <c r="F4" t="inlineStr">
        <is>
          <t>Punto de Acuerdo</t>
        </is>
      </c>
      <c r="G4" t="inlineStr">
        <is>
          <t>Acuerdo por el cual designación de una vocalía en la Comisión General Instructora</t>
        </is>
      </c>
      <c r="H4" t="n">
        <v>19</v>
      </c>
      <c r="I4" t="inlineStr">
        <is>
          <t>Internos del Congreso</t>
        </is>
      </c>
      <c r="J4" t="n">
        <v>40</v>
      </c>
      <c r="K4" t="n">
        <v>0</v>
      </c>
      <c r="L4" t="n">
        <v>0</v>
      </c>
      <c r="M4" t="n">
        <v>0</v>
      </c>
      <c r="N4">
        <f>SUM(J4:M4)</f>
        <v/>
      </c>
      <c r="O4" s="4">
        <f>SUM(J4:L4)/SUM(J4:M4)</f>
        <v/>
      </c>
      <c r="P4" s="5">
        <f>MAX(J4:L4)/SUM(J4:L4)</f>
        <v/>
      </c>
    </row>
    <row r="5">
      <c r="A5" t="inlineStr">
        <is>
          <t>Primer año</t>
        </is>
      </c>
      <c r="B5" t="inlineStr">
        <is>
          <t>Primer periodo</t>
        </is>
      </c>
      <c r="C5" t="n">
        <v>3</v>
      </c>
      <c r="D5" t="n">
        <v>3</v>
      </c>
      <c r="E5" s="3" t="n">
        <v>45561</v>
      </c>
      <c r="F5" t="inlineStr">
        <is>
          <t>Punto de Acuerdo</t>
        </is>
      </c>
      <c r="G5" t="inlineStr">
        <is>
          <t>Acuerdo por el cual designación de una vocalía en el Comité de Diario de Debates, Crónica Legislativa y Asuntos Editoriales</t>
        </is>
      </c>
      <c r="H5" t="n">
        <v>19</v>
      </c>
      <c r="I5" t="inlineStr">
        <is>
          <t>Internos del Congreso</t>
        </is>
      </c>
      <c r="J5" t="n">
        <v>40</v>
      </c>
      <c r="K5" t="n">
        <v>0</v>
      </c>
      <c r="L5" t="n">
        <v>0</v>
      </c>
      <c r="M5" t="n">
        <v>0</v>
      </c>
      <c r="N5">
        <f>SUM(J5:M5)</f>
        <v/>
      </c>
      <c r="O5" s="4">
        <f>SUM(J5:L5)/SUM(J5:M5)</f>
        <v/>
      </c>
      <c r="P5" s="5">
        <f>MAX(J5:L5)/SUM(J5:L5)</f>
        <v/>
      </c>
    </row>
    <row r="6">
      <c r="A6" t="inlineStr">
        <is>
          <t>Primer año</t>
        </is>
      </c>
      <c r="B6" t="inlineStr">
        <is>
          <t>Primer periodo</t>
        </is>
      </c>
      <c r="C6" t="n">
        <v>4</v>
      </c>
      <c r="D6" t="n">
        <v>4</v>
      </c>
      <c r="E6" s="3" t="n">
        <v>45561</v>
      </c>
      <c r="F6" t="inlineStr">
        <is>
          <t>Iniciativa</t>
        </is>
      </c>
      <c r="G6" t="inlineStr">
        <is>
          <t>Dictamen con minuta Proyecto de decreto por el cual se reforma, adiciona y deroga el artículo 2° de la Constitución Política de los Estados Unidos Mexicanos, en materia de pueblos y comunidades indígenas y afromexicanos</t>
        </is>
      </c>
      <c r="H6" t="n">
        <v>18</v>
      </c>
      <c r="I6" t="inlineStr">
        <is>
          <t>Administración Pública</t>
        </is>
      </c>
      <c r="J6" t="n">
        <v>40</v>
      </c>
      <c r="K6" t="n">
        <v>0</v>
      </c>
      <c r="L6" t="n">
        <v>0</v>
      </c>
      <c r="M6" t="n">
        <v>0</v>
      </c>
      <c r="N6">
        <f>SUM(J6:M6)</f>
        <v/>
      </c>
      <c r="O6" s="4">
        <f>SUM(J6:L6)/SUM(J6:M6)</f>
        <v/>
      </c>
      <c r="P6" s="5">
        <f>MAX(J6:L6)/SUM(J6:L6)</f>
        <v/>
      </c>
    </row>
    <row r="7">
      <c r="A7" t="inlineStr">
        <is>
          <t>Primer año</t>
        </is>
      </c>
      <c r="B7" t="inlineStr">
        <is>
          <t>Primer periodo</t>
        </is>
      </c>
      <c r="C7" t="n">
        <v>5</v>
      </c>
      <c r="D7" t="n">
        <v>5</v>
      </c>
      <c r="E7" s="3" t="n">
        <v>45561</v>
      </c>
      <c r="F7" t="inlineStr">
        <is>
          <t>Iniciativa</t>
        </is>
      </c>
      <c r="G7" t="inlineStr">
        <is>
          <t>Dictamen con minuta Proyecto de decreto por el cual se reforman y adicionan los artículos 13, 16, 21, 32, 55, 73, 76, 78, 82, 89,123 y 129 de la Constitución Política de los Estados Unidos Mexicanos, en materia de Guardia Nacional</t>
        </is>
      </c>
      <c r="H7" t="n">
        <v>3</v>
      </c>
      <c r="I7" t="inlineStr">
        <is>
          <t>Seguridad Pública, Protección Civil y Narcotráfico</t>
        </is>
      </c>
      <c r="J7" t="n">
        <v>33</v>
      </c>
      <c r="K7" t="n">
        <v>7</v>
      </c>
      <c r="L7" t="n">
        <v>0</v>
      </c>
      <c r="M7" t="n">
        <v>0</v>
      </c>
      <c r="N7">
        <f>SUM(J7:M7)</f>
        <v/>
      </c>
      <c r="O7" s="4">
        <f>SUM(J7:L7)/SUM(J7:M7)</f>
        <v/>
      </c>
      <c r="P7" s="5">
        <f>MAX(J7:L7)/SUM(J7:L7)</f>
        <v/>
      </c>
    </row>
    <row r="8">
      <c r="A8" t="inlineStr">
        <is>
          <t>Primer año</t>
        </is>
      </c>
      <c r="B8" t="inlineStr">
        <is>
          <t>Primer periodo</t>
        </is>
      </c>
      <c r="C8" t="n">
        <v>6</v>
      </c>
      <c r="D8" t="n">
        <v>6</v>
      </c>
      <c r="E8" s="3" t="n">
        <v>45561</v>
      </c>
      <c r="F8" t="inlineStr">
        <is>
          <t>Punto de Acuerdo</t>
        </is>
      </c>
      <c r="G8" t="inlineStr">
        <is>
          <t>Acuerdo por el cual concesión de licencia a la ciudadana Ana Laura Altamirano Pérez</t>
        </is>
      </c>
      <c r="H8" t="n">
        <v>19</v>
      </c>
      <c r="I8" t="inlineStr">
        <is>
          <t>Internos del Congreso</t>
        </is>
      </c>
      <c r="J8" t="n">
        <v>40</v>
      </c>
      <c r="K8" t="n">
        <v>0</v>
      </c>
      <c r="L8" t="n">
        <v>0</v>
      </c>
      <c r="M8" t="n">
        <v>0</v>
      </c>
      <c r="N8">
        <f>SUM(J8:M8)</f>
        <v/>
      </c>
      <c r="O8" s="4">
        <f>SUM(J8:L8)/SUM(J8:M8)</f>
        <v/>
      </c>
      <c r="P8" s="5">
        <f>MAX(J8:L8)/SUM(J8:L8)</f>
        <v/>
      </c>
    </row>
    <row r="9">
      <c r="A9" t="inlineStr">
        <is>
          <t>Primer año</t>
        </is>
      </c>
      <c r="B9" t="inlineStr">
        <is>
          <t>Primer periodo</t>
        </is>
      </c>
      <c r="C9" t="n">
        <v>7</v>
      </c>
      <c r="D9" t="n">
        <v>7</v>
      </c>
      <c r="E9" s="3" t="n">
        <v>45568</v>
      </c>
      <c r="F9" t="inlineStr">
        <is>
          <t>Punto de Acuerdo</t>
        </is>
      </c>
      <c r="G9" t="inlineStr">
        <is>
          <t>Acuerdo por el cual la dispensa de la lectura del orden del día</t>
        </is>
      </c>
      <c r="H9" t="n">
        <v>19</v>
      </c>
      <c r="I9" t="inlineStr">
        <is>
          <t>Internos del Congreso</t>
        </is>
      </c>
      <c r="J9" t="n">
        <v>40</v>
      </c>
      <c r="K9" t="n">
        <v>0</v>
      </c>
      <c r="L9" t="n">
        <v>0</v>
      </c>
      <c r="M9" t="n">
        <v>0</v>
      </c>
      <c r="N9">
        <f>SUM(J9:M9)</f>
        <v/>
      </c>
      <c r="O9" s="4">
        <f>SUM(J9:L9)/SUM(J9:M9)</f>
        <v/>
      </c>
      <c r="P9" s="5">
        <f>MAX(J9:L9)/SUM(J9:L9)</f>
        <v/>
      </c>
    </row>
    <row r="10">
      <c r="A10" t="inlineStr">
        <is>
          <t>Primer año</t>
        </is>
      </c>
      <c r="B10" t="inlineStr">
        <is>
          <t>Primer periodo</t>
        </is>
      </c>
      <c r="C10" t="n">
        <v>8</v>
      </c>
      <c r="D10" t="n">
        <v>8</v>
      </c>
      <c r="E10" s="3" t="n">
        <v>45568</v>
      </c>
      <c r="F10" t="inlineStr">
        <is>
          <t>Punto de Acuerdo</t>
        </is>
      </c>
      <c r="G10" t="inlineStr">
        <is>
          <t>Acuerdo por el cual la dispensa de lectura del acta de la sesión anterior</t>
        </is>
      </c>
      <c r="H10" t="n">
        <v>19</v>
      </c>
      <c r="I10" t="inlineStr">
        <is>
          <t>Internos del Congreso</t>
        </is>
      </c>
      <c r="J10" t="n">
        <v>40</v>
      </c>
      <c r="K10" t="n">
        <v>0</v>
      </c>
      <c r="L10" t="n">
        <v>0</v>
      </c>
      <c r="M10" t="n">
        <v>0</v>
      </c>
      <c r="N10">
        <f>SUM(J10:M10)</f>
        <v/>
      </c>
      <c r="O10" s="4">
        <f>SUM(J10:L10)/SUM(J10:M10)</f>
        <v/>
      </c>
      <c r="P10" s="5">
        <f>MAX(J10:L10)/SUM(J10:L10)</f>
        <v/>
      </c>
    </row>
    <row r="11">
      <c r="A11" t="inlineStr">
        <is>
          <t>Primer año</t>
        </is>
      </c>
      <c r="B11" t="inlineStr">
        <is>
          <t>Primer periodo</t>
        </is>
      </c>
      <c r="C11" t="n">
        <v>9</v>
      </c>
      <c r="D11" t="n">
        <v>9</v>
      </c>
      <c r="E11" s="3" t="n">
        <v>45568</v>
      </c>
      <c r="F11" t="inlineStr">
        <is>
          <t>Punto de Acuerdo</t>
        </is>
      </c>
      <c r="G11" t="inlineStr">
        <is>
          <t>Acuerdo por el cual el contenido del acta de la sesión anterior</t>
        </is>
      </c>
      <c r="H11" t="n">
        <v>19</v>
      </c>
      <c r="I11" t="inlineStr">
        <is>
          <t>Internos del Congreso</t>
        </is>
      </c>
      <c r="J11" t="n">
        <v>40</v>
      </c>
      <c r="K11" t="n">
        <v>0</v>
      </c>
      <c r="L11" t="n">
        <v>0</v>
      </c>
      <c r="M11" t="n">
        <v>0</v>
      </c>
      <c r="N11">
        <f>SUM(J11:M11)</f>
        <v/>
      </c>
      <c r="O11" s="4">
        <f>SUM(J11:L11)/SUM(J11:M11)</f>
        <v/>
      </c>
      <c r="P11" s="5">
        <f>MAX(J11:L11)/SUM(J11:L11)</f>
        <v/>
      </c>
    </row>
    <row r="12">
      <c r="A12" t="inlineStr">
        <is>
          <t>Primer año</t>
        </is>
      </c>
      <c r="B12" t="inlineStr">
        <is>
          <t>Primer periodo</t>
        </is>
      </c>
      <c r="C12" t="n">
        <v>10</v>
      </c>
      <c r="D12" t="n">
        <v>10</v>
      </c>
      <c r="E12" s="3" t="n">
        <v>45575</v>
      </c>
      <c r="F12" t="inlineStr">
        <is>
          <t>Punto de Acuerdo</t>
        </is>
      </c>
      <c r="G12" t="inlineStr">
        <is>
          <t>Acuerdo por el cual se acepta la renuncia de la titular del Órgano Interno de Control del honorable Congreso del Estado</t>
        </is>
      </c>
      <c r="H12" t="n">
        <v>18</v>
      </c>
      <c r="I12" t="inlineStr">
        <is>
          <t>Administración Pública</t>
        </is>
      </c>
      <c r="J12" t="n">
        <v>36</v>
      </c>
      <c r="K12" t="n">
        <v>0</v>
      </c>
      <c r="L12" t="n">
        <v>0</v>
      </c>
      <c r="M12" t="n">
        <v>0</v>
      </c>
      <c r="N12">
        <f>SUM(J12:M12)</f>
        <v/>
      </c>
      <c r="O12" s="4">
        <f>SUM(J12:L12)/SUM(J12:M12)</f>
        <v/>
      </c>
      <c r="P12" s="5">
        <f>MAX(J12:L12)/SUM(J12:L12)</f>
        <v/>
      </c>
    </row>
    <row r="13">
      <c r="A13" t="inlineStr">
        <is>
          <t>Primer año</t>
        </is>
      </c>
      <c r="B13" t="inlineStr">
        <is>
          <t>Primer periodo</t>
        </is>
      </c>
      <c r="C13" t="n">
        <v>11</v>
      </c>
      <c r="D13" t="n">
        <v>11</v>
      </c>
      <c r="E13" s="3" t="n">
        <v>45575</v>
      </c>
      <c r="F13" t="inlineStr">
        <is>
          <t>Punto de Acuerdo</t>
        </is>
      </c>
      <c r="G13" t="inlineStr">
        <is>
          <t>Acuerdo por el cual se nombra al ciudadano Antonio Vasconcelos Rueda, como titular del Órgano Interno de Control del honorable Congreso del Estado</t>
        </is>
      </c>
      <c r="H13" t="n">
        <v>18</v>
      </c>
      <c r="I13" t="inlineStr">
        <is>
          <t>Administración Pública</t>
        </is>
      </c>
      <c r="J13" t="n">
        <v>37</v>
      </c>
      <c r="K13" t="n">
        <v>0</v>
      </c>
      <c r="L13" t="n">
        <v>0</v>
      </c>
      <c r="M13" t="n">
        <v>0</v>
      </c>
      <c r="N13">
        <f>SUM(J13:M13)</f>
        <v/>
      </c>
      <c r="O13" s="4">
        <f>SUM(J13:L13)/SUM(J13:M13)</f>
        <v/>
      </c>
      <c r="P13" s="5">
        <f>MAX(J13:L13)/SUM(J13:L13)</f>
        <v/>
      </c>
    </row>
    <row r="14">
      <c r="A14" t="inlineStr">
        <is>
          <t>Primer año</t>
        </is>
      </c>
      <c r="B14" t="inlineStr">
        <is>
          <t>Primer periodo</t>
        </is>
      </c>
      <c r="C14" t="n">
        <v>12</v>
      </c>
      <c r="D14" t="n">
        <v>12</v>
      </c>
      <c r="E14" s="3" t="n">
        <v>45575</v>
      </c>
      <c r="F14" t="inlineStr">
        <is>
          <t>Punto de Acuerdo</t>
        </is>
      </c>
      <c r="G14" t="inlineStr">
        <is>
          <t>Acuerdo para la elección e integración de la sustitución de la secretaría de la Comisión General de Desarrollo Rural y vocalías de comisiones generales</t>
        </is>
      </c>
      <c r="H14" t="n">
        <v>19</v>
      </c>
      <c r="I14" t="inlineStr">
        <is>
          <t>Internos del Congreso</t>
        </is>
      </c>
      <c r="J14" t="n">
        <v>37</v>
      </c>
      <c r="K14" t="n">
        <v>0</v>
      </c>
      <c r="L14" t="n">
        <v>0</v>
      </c>
      <c r="M14" t="n">
        <v>0</v>
      </c>
      <c r="N14">
        <f>SUM(J14:M14)</f>
        <v/>
      </c>
      <c r="O14" s="4">
        <f>SUM(J14:L14)/SUM(J14:M14)</f>
        <v/>
      </c>
      <c r="P14" s="5">
        <f>MAX(J14:L14)/SUM(J14:L14)</f>
        <v/>
      </c>
    </row>
    <row r="15">
      <c r="A15" t="inlineStr">
        <is>
          <t>Primer año</t>
        </is>
      </c>
      <c r="B15" t="inlineStr">
        <is>
          <t>Primer periodo</t>
        </is>
      </c>
      <c r="C15" t="n">
        <v>13</v>
      </c>
      <c r="D15" t="n">
        <v>13</v>
      </c>
      <c r="E15" s="3" t="n">
        <v>45575</v>
      </c>
      <c r="F15" t="inlineStr">
        <is>
          <t>Punto de Acuerdo</t>
        </is>
      </c>
      <c r="G15" t="inlineStr">
        <is>
          <t>Acuerdo por el cual se nombra a la diputada Modesta Delgado Juárez como presidenta del Comité de Adquisiciones, Arrendamientos y Servicios</t>
        </is>
      </c>
      <c r="H15" t="n">
        <v>19</v>
      </c>
      <c r="I15" t="inlineStr">
        <is>
          <t>Internos del Congreso</t>
        </is>
      </c>
      <c r="J15" t="n">
        <v>37</v>
      </c>
      <c r="K15" t="n">
        <v>0</v>
      </c>
      <c r="L15" t="n">
        <v>0</v>
      </c>
      <c r="M15" t="n">
        <v>0</v>
      </c>
      <c r="N15">
        <f>SUM(J15:M15)</f>
        <v/>
      </c>
      <c r="O15" s="4">
        <f>SUM(J15:L15)/SUM(J15:M15)</f>
        <v/>
      </c>
      <c r="P15" s="5">
        <f>MAX(J15:L15)/SUM(J15:L15)</f>
        <v/>
      </c>
    </row>
    <row r="16">
      <c r="A16" t="inlineStr">
        <is>
          <t>Primer año</t>
        </is>
      </c>
      <c r="B16" t="inlineStr">
        <is>
          <t>Primer periodo</t>
        </is>
      </c>
      <c r="C16" t="n">
        <v>14</v>
      </c>
      <c r="D16" t="n">
        <v>14</v>
      </c>
      <c r="E16" s="3" t="n">
        <v>45580</v>
      </c>
      <c r="F16" t="inlineStr">
        <is>
          <t>Iniciativa</t>
        </is>
      </c>
      <c r="G16" t="inlineStr">
        <is>
          <t>Dictamen con minuta Proyecto de decreto por el cual se reforma el primer párrafo de la fracción VI del apartado A y se adiciona un tercer párrafo a la fracción IV del apartado B del artículo 123 de la Constitución Política de los Estados Unidos Mexicanos, en materia de salarios</t>
        </is>
      </c>
      <c r="H16" t="n">
        <v>18</v>
      </c>
      <c r="I16" t="inlineStr">
        <is>
          <t>Administración Pública</t>
        </is>
      </c>
      <c r="J16" t="n">
        <v>39</v>
      </c>
      <c r="K16" t="n">
        <v>0</v>
      </c>
      <c r="L16" t="n">
        <v>0</v>
      </c>
      <c r="M16" t="n">
        <v>2</v>
      </c>
      <c r="N16">
        <f>SUM(J16:M16)</f>
        <v/>
      </c>
      <c r="O16" s="4">
        <f>SUM(J16:L16)/SUM(J16:M16)</f>
        <v/>
      </c>
      <c r="P16" s="5">
        <f>MAX(J16:L16)/SUM(J16:L16)</f>
        <v/>
      </c>
    </row>
    <row r="17">
      <c r="A17" t="inlineStr">
        <is>
          <t>Primer año</t>
        </is>
      </c>
      <c r="B17" t="inlineStr">
        <is>
          <t>Primer periodo</t>
        </is>
      </c>
      <c r="C17" t="n">
        <v>15</v>
      </c>
      <c r="D17" t="n">
        <v>15</v>
      </c>
      <c r="E17" s="3" t="n">
        <v>45580</v>
      </c>
      <c r="F17" t="inlineStr">
        <is>
          <t>Punto de Acuerdo</t>
        </is>
      </c>
      <c r="G17" t="inlineStr">
        <is>
          <t>Acuerdo por el cual se convoca a elecciones extraordinarias de miembros de ayuntamiento en el municipio de Ayotoxco de Guerrero</t>
        </is>
      </c>
      <c r="H17" t="n">
        <v>4</v>
      </c>
      <c r="I17" t="inlineStr">
        <is>
          <t>Partidos Políticos y Elecciones</t>
        </is>
      </c>
      <c r="J17" t="n">
        <v>39</v>
      </c>
      <c r="K17" t="n">
        <v>0</v>
      </c>
      <c r="L17" t="n">
        <v>0</v>
      </c>
      <c r="M17" t="n">
        <v>2</v>
      </c>
      <c r="N17">
        <f>SUM(J17:M17)</f>
        <v/>
      </c>
      <c r="O17" s="4">
        <f>SUM(J17:L17)/SUM(J17:M17)</f>
        <v/>
      </c>
      <c r="P17" s="5">
        <f>MAX(J17:L17)/SUM(J17:L17)</f>
        <v/>
      </c>
    </row>
    <row r="18">
      <c r="A18" t="inlineStr">
        <is>
          <t>Primer año</t>
        </is>
      </c>
      <c r="B18" t="inlineStr">
        <is>
          <t>Primer periodo</t>
        </is>
      </c>
      <c r="C18" t="n">
        <v>16</v>
      </c>
      <c r="D18" t="n">
        <v>16</v>
      </c>
      <c r="E18" s="3" t="n">
        <v>45580</v>
      </c>
      <c r="F18" t="inlineStr">
        <is>
          <t>Punto de Acuerdo</t>
        </is>
      </c>
      <c r="G18" t="inlineStr">
        <is>
          <t>Acuerdo por el cual se convoca a elecciones extraordinarias de miembros de ayuntamiento en el municipio de Xiutetelco</t>
        </is>
      </c>
      <c r="H18" t="n">
        <v>4</v>
      </c>
      <c r="I18" t="inlineStr">
        <is>
          <t>Partidos Políticos y Elecciones</t>
        </is>
      </c>
      <c r="J18" t="n">
        <v>38</v>
      </c>
      <c r="K18" t="n">
        <v>1</v>
      </c>
      <c r="L18" t="n">
        <v>0</v>
      </c>
      <c r="M18" t="n">
        <v>2</v>
      </c>
      <c r="N18">
        <f>SUM(J18:M18)</f>
        <v/>
      </c>
      <c r="O18" s="4">
        <f>SUM(J18:L18)/SUM(J18:M18)</f>
        <v/>
      </c>
      <c r="P18" s="5">
        <f>MAX(J18:L18)/SUM(J18:L18)</f>
        <v/>
      </c>
    </row>
    <row r="19">
      <c r="A19" t="inlineStr">
        <is>
          <t>Primer año</t>
        </is>
      </c>
      <c r="B19" t="inlineStr">
        <is>
          <t>Primer periodo</t>
        </is>
      </c>
      <c r="C19" t="n">
        <v>17</v>
      </c>
      <c r="D19" t="n">
        <v>17</v>
      </c>
      <c r="E19" s="3" t="n">
        <v>45580</v>
      </c>
      <c r="F19" t="inlineStr">
        <is>
          <t>Punto de Acuerdo</t>
        </is>
      </c>
      <c r="G19" t="inlineStr">
        <is>
          <t>Acuerdo por el cual se convoca a elecciones extraordinarias de miembros del ayuntamiento en el municipio de Chignahuapan</t>
        </is>
      </c>
      <c r="H19" t="n">
        <v>4</v>
      </c>
      <c r="I19" t="inlineStr">
        <is>
          <t>Partidos Políticos y Elecciones</t>
        </is>
      </c>
      <c r="J19" t="n">
        <v>34</v>
      </c>
      <c r="K19" t="n">
        <v>6</v>
      </c>
      <c r="L19" t="n">
        <v>0</v>
      </c>
      <c r="M19" t="n">
        <v>1</v>
      </c>
      <c r="N19">
        <f>SUM(J19:M19)</f>
        <v/>
      </c>
      <c r="O19" s="4">
        <f>SUM(J19:L19)/SUM(J19:M19)</f>
        <v/>
      </c>
      <c r="P19" s="5">
        <f>MAX(J19:L19)/SUM(J19:L19)</f>
        <v/>
      </c>
    </row>
    <row r="20">
      <c r="A20" t="inlineStr">
        <is>
          <t>Primer año</t>
        </is>
      </c>
      <c r="B20" t="inlineStr">
        <is>
          <t>Primer periodo</t>
        </is>
      </c>
      <c r="C20" t="n">
        <v>18</v>
      </c>
      <c r="D20" t="n">
        <v>18</v>
      </c>
      <c r="E20" s="3" t="n">
        <v>45580</v>
      </c>
      <c r="F20" t="inlineStr">
        <is>
          <t>Punto de Acuerdo</t>
        </is>
      </c>
      <c r="G20" t="inlineStr">
        <is>
          <t>Acuerdo por el cual se convoca a elecciones extraordinarias de miembros de ayuntamiento en el municipio de Venustiano Carranza</t>
        </is>
      </c>
      <c r="H20" t="n">
        <v>4</v>
      </c>
      <c r="I20" t="inlineStr">
        <is>
          <t>Partidos Políticos y Elecciones</t>
        </is>
      </c>
      <c r="J20" t="n">
        <v>34</v>
      </c>
      <c r="K20" t="n">
        <v>6</v>
      </c>
      <c r="L20" t="n">
        <v>0</v>
      </c>
      <c r="M20" t="n">
        <v>1</v>
      </c>
      <c r="N20">
        <f>SUM(J20:M20)</f>
        <v/>
      </c>
      <c r="O20" s="4">
        <f>SUM(J20:L20)/SUM(J20:M20)</f>
        <v/>
      </c>
      <c r="P20" s="5">
        <f>MAX(J20:L20)/SUM(J20:L20)</f>
        <v/>
      </c>
    </row>
    <row r="21">
      <c r="A21" t="inlineStr">
        <is>
          <t>Primer año</t>
        </is>
      </c>
      <c r="B21" t="inlineStr">
        <is>
          <t>Primer periodo</t>
        </is>
      </c>
      <c r="C21" t="n">
        <v>19</v>
      </c>
      <c r="D21" t="n">
        <v>19</v>
      </c>
      <c r="E21" s="3" t="n">
        <v>45582</v>
      </c>
      <c r="F21" t="inlineStr">
        <is>
          <t>Punto de Acuerdo</t>
        </is>
      </c>
      <c r="G21" t="inlineStr">
        <is>
          <t>Acuerdo por el cual la dispensa de lectura del orden del día</t>
        </is>
      </c>
      <c r="H21" t="n">
        <v>19</v>
      </c>
      <c r="I21" t="inlineStr">
        <is>
          <t>Internos del Congreso</t>
        </is>
      </c>
      <c r="J21" t="n">
        <v>41</v>
      </c>
      <c r="K21" t="n">
        <v>0</v>
      </c>
      <c r="L21" t="n">
        <v>0</v>
      </c>
      <c r="M21" t="n">
        <v>0</v>
      </c>
      <c r="N21">
        <f>SUM(J21:M21)</f>
        <v/>
      </c>
      <c r="O21" s="4">
        <f>SUM(J21:L21)/SUM(J21:M21)</f>
        <v/>
      </c>
      <c r="P21" s="5">
        <f>MAX(J21:L21)/SUM(J21:L21)</f>
        <v/>
      </c>
    </row>
    <row r="22">
      <c r="A22" t="inlineStr">
        <is>
          <t>Primer año</t>
        </is>
      </c>
      <c r="B22" t="inlineStr">
        <is>
          <t>Primer periodo</t>
        </is>
      </c>
      <c r="C22" t="n">
        <v>20</v>
      </c>
      <c r="D22" t="n">
        <v>20</v>
      </c>
      <c r="E22" s="3" t="n">
        <v>45582</v>
      </c>
      <c r="F22" t="inlineStr">
        <is>
          <t>Punto de Acuerdo</t>
        </is>
      </c>
      <c r="G22" t="inlineStr">
        <is>
          <t>Acuerdo por el cual la inclusión en el orden del día de una iniciativa sobre cáncer de mama</t>
        </is>
      </c>
      <c r="H22" t="n">
        <v>6</v>
      </c>
      <c r="I22" t="inlineStr">
        <is>
          <t>Salud</t>
        </is>
      </c>
      <c r="J22" t="n">
        <v>41</v>
      </c>
      <c r="K22" t="n">
        <v>0</v>
      </c>
      <c r="L22" t="n">
        <v>0</v>
      </c>
      <c r="M22" t="n">
        <v>0</v>
      </c>
      <c r="N22">
        <f>SUM(J22:M22)</f>
        <v/>
      </c>
      <c r="O22" s="4">
        <f>SUM(J22:L22)/SUM(J22:M22)</f>
        <v/>
      </c>
      <c r="P22" s="5">
        <f>MAX(J22:L22)/SUM(J22:L22)</f>
        <v/>
      </c>
    </row>
    <row r="23">
      <c r="A23" t="inlineStr">
        <is>
          <t>Primer año</t>
        </is>
      </c>
      <c r="B23" t="inlineStr">
        <is>
          <t>Primer periodo</t>
        </is>
      </c>
      <c r="C23" t="n">
        <v>21</v>
      </c>
      <c r="D23" t="n">
        <v>21</v>
      </c>
      <c r="E23" s="3" t="n">
        <v>45582</v>
      </c>
      <c r="F23" t="inlineStr">
        <is>
          <t>Punto de Acuerdo</t>
        </is>
      </c>
      <c r="G23" t="inlineStr">
        <is>
          <t>Acuerdo por el cual el retiro del punto catorce del orden del día</t>
        </is>
      </c>
      <c r="H23" t="n">
        <v>19</v>
      </c>
      <c r="I23" t="inlineStr">
        <is>
          <t>Internos del Congreso</t>
        </is>
      </c>
      <c r="J23" t="n">
        <v>41</v>
      </c>
      <c r="K23" t="n">
        <v>0</v>
      </c>
      <c r="L23" t="n">
        <v>0</v>
      </c>
      <c r="M23" t="n">
        <v>0</v>
      </c>
      <c r="N23">
        <f>SUM(J23:M23)</f>
        <v/>
      </c>
      <c r="O23" s="4">
        <f>SUM(J23:L23)/SUM(J23:M23)</f>
        <v/>
      </c>
      <c r="P23" s="5">
        <f>MAX(J23:L23)/SUM(J23:L23)</f>
        <v/>
      </c>
    </row>
    <row r="24">
      <c r="A24" t="inlineStr">
        <is>
          <t>Primer año</t>
        </is>
      </c>
      <c r="B24" t="inlineStr">
        <is>
          <t>Primer periodo</t>
        </is>
      </c>
      <c r="C24" t="n">
        <v>22</v>
      </c>
      <c r="D24" t="n">
        <v>22</v>
      </c>
      <c r="E24" s="3" t="n">
        <v>45582</v>
      </c>
      <c r="F24" t="inlineStr">
        <is>
          <t>Punto de Acuerdo</t>
        </is>
      </c>
      <c r="G24" t="inlineStr">
        <is>
          <t>Acuerdo por el cual la dispensa de lectura del acta de la sesión anterior</t>
        </is>
      </c>
      <c r="H24" t="n">
        <v>19</v>
      </c>
      <c r="I24" t="inlineStr">
        <is>
          <t>Internos del Congreso</t>
        </is>
      </c>
      <c r="J24" t="n">
        <v>41</v>
      </c>
      <c r="K24" t="n">
        <v>0</v>
      </c>
      <c r="L24" t="n">
        <v>0</v>
      </c>
      <c r="M24" t="n">
        <v>0</v>
      </c>
      <c r="N24">
        <f>SUM(J24:M24)</f>
        <v/>
      </c>
      <c r="O24" s="4">
        <f>SUM(J24:L24)/SUM(J24:M24)</f>
        <v/>
      </c>
      <c r="P24" s="5">
        <f>MAX(J24:L24)/SUM(J24:L24)</f>
        <v/>
      </c>
    </row>
    <row r="25">
      <c r="A25" t="inlineStr">
        <is>
          <t>Primer año</t>
        </is>
      </c>
      <c r="B25" t="inlineStr">
        <is>
          <t>Primer periodo</t>
        </is>
      </c>
      <c r="C25" t="n">
        <v>23</v>
      </c>
      <c r="D25" t="n">
        <v>23</v>
      </c>
      <c r="E25" s="3" t="n">
        <v>45582</v>
      </c>
      <c r="F25" t="inlineStr">
        <is>
          <t>Punto de Acuerdo</t>
        </is>
      </c>
      <c r="G25" t="inlineStr">
        <is>
          <t>Acuerdo por el cual el contenido del acta de la sesión anterior</t>
        </is>
      </c>
      <c r="H25" t="n">
        <v>19</v>
      </c>
      <c r="I25" t="inlineStr">
        <is>
          <t>Internos del Congreso</t>
        </is>
      </c>
      <c r="J25" t="n">
        <v>41</v>
      </c>
      <c r="K25" t="n">
        <v>0</v>
      </c>
      <c r="L25" t="n">
        <v>0</v>
      </c>
      <c r="M25" t="n">
        <v>0</v>
      </c>
      <c r="N25">
        <f>SUM(J25:M25)</f>
        <v/>
      </c>
      <c r="O25" s="4">
        <f>SUM(J25:L25)/SUM(J25:M25)</f>
        <v/>
      </c>
      <c r="P25" s="5">
        <f>MAX(J25:L25)/SUM(J25:L25)</f>
        <v/>
      </c>
    </row>
    <row r="26">
      <c r="A26" t="inlineStr">
        <is>
          <t>Primer año</t>
        </is>
      </c>
      <c r="B26" t="inlineStr">
        <is>
          <t>Primer periodo</t>
        </is>
      </c>
      <c r="C26" t="n">
        <v>24</v>
      </c>
      <c r="D26" t="n">
        <v>24</v>
      </c>
      <c r="E26" s="3" t="n">
        <v>45589</v>
      </c>
      <c r="F26" t="inlineStr">
        <is>
          <t>Iniciativa</t>
        </is>
      </c>
      <c r="G26" t="inlineStr">
        <is>
          <t>Dictamen con minuta Proyecto de decreto por el cual se reforma el párrafo cuarto y se adiciona un párrafo quinto, al artículo 28 de la Constitución Política de los Estados Unidos Mexicanos, en materia de vías y transporte ferroviario</t>
        </is>
      </c>
      <c r="H26" t="n">
        <v>11</v>
      </c>
      <c r="I26" t="inlineStr">
        <is>
          <t>Infraestructura, Movilidad y Transporte</t>
        </is>
      </c>
      <c r="J26" t="n">
        <v>40</v>
      </c>
      <c r="K26" t="n">
        <v>0</v>
      </c>
      <c r="L26" t="n">
        <v>0</v>
      </c>
      <c r="M26" t="n">
        <v>0</v>
      </c>
      <c r="N26">
        <f>SUM(J26:M26)</f>
        <v/>
      </c>
      <c r="O26" s="4">
        <f>SUM(J26:L26)/SUM(J26:M26)</f>
        <v/>
      </c>
      <c r="P26" s="5">
        <f>MAX(J26:L26)/SUM(J26:L26)</f>
        <v/>
      </c>
    </row>
    <row r="27">
      <c r="A27" t="inlineStr">
        <is>
          <t>Primer año</t>
        </is>
      </c>
      <c r="B27" t="inlineStr">
        <is>
          <t>Primer periodo</t>
        </is>
      </c>
      <c r="C27" t="n">
        <v>25</v>
      </c>
      <c r="D27" t="n">
        <v>25</v>
      </c>
      <c r="E27" s="3" t="n">
        <v>45589</v>
      </c>
      <c r="F27" t="inlineStr">
        <is>
          <t>Iniciativa</t>
        </is>
      </c>
      <c r="G27" t="inlineStr">
        <is>
          <t>Dictamen con minuta Proyecto de decreto por el cual se reforman el párrafo quinto del artículo 25, los párrafos sexto y séptimo del artículo 27 y el párrafo cuarto del artículo 28 de la Constitución Política de los Estados Unidos Mexicanos, en materia de áreas y empresas estratégicas</t>
        </is>
      </c>
      <c r="H27" t="n">
        <v>1</v>
      </c>
      <c r="I27" t="inlineStr">
        <is>
          <t>Economía, Comercio y Competitividad</t>
        </is>
      </c>
      <c r="J27" t="n">
        <v>35</v>
      </c>
      <c r="K27" t="n">
        <v>5</v>
      </c>
      <c r="L27" t="n">
        <v>0</v>
      </c>
      <c r="M27" t="n">
        <v>0</v>
      </c>
      <c r="N27">
        <f>SUM(J27:M27)</f>
        <v/>
      </c>
      <c r="O27" s="4">
        <f>SUM(J27:L27)/SUM(J27:M27)</f>
        <v/>
      </c>
      <c r="P27" s="5">
        <f>MAX(J27:L27)/SUM(J27:L27)</f>
        <v/>
      </c>
    </row>
    <row r="28">
      <c r="A28" t="inlineStr">
        <is>
          <t>Primer año</t>
        </is>
      </c>
      <c r="B28" t="inlineStr">
        <is>
          <t>Primer periodo</t>
        </is>
      </c>
      <c r="C28" t="n">
        <v>26</v>
      </c>
      <c r="D28" t="n">
        <v>26</v>
      </c>
      <c r="E28" s="3" t="n">
        <v>45589</v>
      </c>
      <c r="F28" t="inlineStr">
        <is>
          <t>Punto de Acuerdo</t>
        </is>
      </c>
      <c r="G28" t="inlineStr">
        <is>
          <t>Acuerdo por el cual se designa al ciudadano Francisco Muñoz Violante como titular de la Unidad Técnica de la Comisión de Control, Vigilancia y Evaluación de la Auditoría Superior del Estado</t>
        </is>
      </c>
      <c r="H28" t="n">
        <v>10</v>
      </c>
      <c r="I28" t="inlineStr">
        <is>
          <t>Transparencia y Rendición de Cuentas</t>
        </is>
      </c>
      <c r="J28" t="n">
        <v>40</v>
      </c>
      <c r="K28" t="n">
        <v>0</v>
      </c>
      <c r="L28" t="n">
        <v>0</v>
      </c>
      <c r="M28" t="n">
        <v>0</v>
      </c>
      <c r="N28">
        <f>SUM(J28:M28)</f>
        <v/>
      </c>
      <c r="O28" s="4">
        <f>SUM(J28:L28)/SUM(J28:M28)</f>
        <v/>
      </c>
      <c r="P28" s="5">
        <f>MAX(J28:L28)/SUM(J28:L28)</f>
        <v/>
      </c>
    </row>
    <row r="29">
      <c r="A29" t="inlineStr">
        <is>
          <t>Primer año</t>
        </is>
      </c>
      <c r="B29" t="inlineStr">
        <is>
          <t>Primer periodo</t>
        </is>
      </c>
      <c r="C29" t="n">
        <v>27</v>
      </c>
      <c r="D29" t="n">
        <v>27</v>
      </c>
      <c r="E29" s="3" t="n">
        <v>45596</v>
      </c>
      <c r="F29" t="inlineStr">
        <is>
          <t>Iniciativa</t>
        </is>
      </c>
      <c r="G29" t="inlineStr">
        <is>
          <t>Dictamen con minuta de decreto por el cual se reforma el artículo 107 y se adiciona un quinto párrafo al artículo 105 de la Constitución Política de los Estados Unidos Mexicanos, en materia de inimpugnabilidad de las adiciones o reformas a la Constitución federal</t>
        </is>
      </c>
      <c r="H29" t="n">
        <v>14</v>
      </c>
      <c r="I29" t="inlineStr">
        <is>
          <t>Justicia y Estado de Derecho</t>
        </is>
      </c>
      <c r="J29" t="n">
        <v>34</v>
      </c>
      <c r="K29" t="n">
        <v>6</v>
      </c>
      <c r="L29" t="n">
        <v>0</v>
      </c>
      <c r="M29" t="n">
        <v>1</v>
      </c>
      <c r="N29">
        <f>SUM(J29:M29)</f>
        <v/>
      </c>
      <c r="O29" s="4">
        <f>SUM(J29:L29)/SUM(J29:M29)</f>
        <v/>
      </c>
      <c r="P29" s="5">
        <f>MAX(J29:L29)/SUM(J29:L29)</f>
        <v/>
      </c>
    </row>
    <row r="30">
      <c r="A30" t="inlineStr">
        <is>
          <t>Primer año</t>
        </is>
      </c>
      <c r="B30" t="inlineStr">
        <is>
          <t>Primer periodo</t>
        </is>
      </c>
      <c r="C30" t="n">
        <v>28</v>
      </c>
      <c r="D30" t="n">
        <v>28</v>
      </c>
      <c r="E30" s="3" t="n">
        <v>45596</v>
      </c>
      <c r="F30" t="inlineStr">
        <is>
          <t>Iniciativa</t>
        </is>
      </c>
      <c r="G30" t="inlineStr">
        <is>
          <t>Dictamen con minuta de decreto por el cual se reforman y adicionan los artículos 4o y 27 de la Constitución Política de los Estados Unidos Mexicanos, en materia de bienestar</t>
        </is>
      </c>
      <c r="H30" t="n">
        <v>2</v>
      </c>
      <c r="I30" t="inlineStr">
        <is>
          <t>Pobreza y Política Social</t>
        </is>
      </c>
      <c r="J30" t="n">
        <v>40</v>
      </c>
      <c r="K30" t="n">
        <v>0</v>
      </c>
      <c r="L30" t="n">
        <v>0</v>
      </c>
      <c r="M30" t="n">
        <v>1</v>
      </c>
      <c r="N30">
        <f>SUM(J30:M30)</f>
        <v/>
      </c>
      <c r="O30" s="4">
        <f>SUM(J30:L30)/SUM(J30:M30)</f>
        <v/>
      </c>
      <c r="P30" s="5">
        <f>MAX(J30:L30)/SUM(J30:L30)</f>
        <v/>
      </c>
    </row>
    <row r="31">
      <c r="A31" t="inlineStr">
        <is>
          <t>Primer año</t>
        </is>
      </c>
      <c r="B31" t="inlineStr">
        <is>
          <t>Primer periodo</t>
        </is>
      </c>
      <c r="C31" t="n">
        <v>29</v>
      </c>
      <c r="D31" t="n">
        <v>29</v>
      </c>
      <c r="E31" s="3" t="n">
        <v>45596</v>
      </c>
      <c r="F31" t="inlineStr">
        <is>
          <t>Punto de Acuerdo</t>
        </is>
      </c>
      <c r="G31" t="inlineStr">
        <is>
          <t>Acuerdo por el cual se ratifica y nombra a la maestra Fernanda Abdeyan Godos Balderas, como secretaria general de la Sexagésima Segunda Legislatura del honorable congreso del estado libre y soberano de Puebla</t>
        </is>
      </c>
      <c r="H31" t="n">
        <v>19</v>
      </c>
      <c r="I31" t="inlineStr">
        <is>
          <t>Internos del Congreso</t>
        </is>
      </c>
      <c r="J31" t="n">
        <v>40</v>
      </c>
      <c r="K31" t="n">
        <v>0</v>
      </c>
      <c r="L31" t="n">
        <v>0</v>
      </c>
      <c r="M31" t="n">
        <v>1</v>
      </c>
      <c r="N31">
        <f>SUM(J31:M31)</f>
        <v/>
      </c>
      <c r="O31" s="4">
        <f>SUM(J31:L31)/SUM(J31:M31)</f>
        <v/>
      </c>
      <c r="P31" s="5">
        <f>MAX(J31:L31)/SUM(J31:L31)</f>
        <v/>
      </c>
    </row>
    <row r="32">
      <c r="A32" t="inlineStr">
        <is>
          <t>Primer año</t>
        </is>
      </c>
      <c r="B32" t="inlineStr">
        <is>
          <t>Primer periodo</t>
        </is>
      </c>
      <c r="C32" t="n">
        <v>30</v>
      </c>
      <c r="D32" t="n">
        <v>30</v>
      </c>
      <c r="E32" s="3" t="n">
        <v>45596</v>
      </c>
      <c r="F32" t="inlineStr">
        <is>
          <t>Punto de Acuerdo</t>
        </is>
      </c>
      <c r="G32" t="inlineStr">
        <is>
          <t>Acuerdo que contiene la propuesta del proyecto de presupuesto anual del honorable congreso del estado libre y soberano de Puebla, así como el proyecto de presupuesto anual de la Auditoría Superior del Estado</t>
        </is>
      </c>
      <c r="H32" t="n">
        <v>7</v>
      </c>
      <c r="I32" t="inlineStr">
        <is>
          <t>Impuestos, Finanzas Públicas, Patrimonio estatal y municipal</t>
        </is>
      </c>
      <c r="J32" t="n">
        <v>40</v>
      </c>
      <c r="K32" t="n">
        <v>0</v>
      </c>
      <c r="L32" t="n">
        <v>0</v>
      </c>
      <c r="M32" t="n">
        <v>1</v>
      </c>
      <c r="N32">
        <f>SUM(J32:M32)</f>
        <v/>
      </c>
      <c r="O32" s="4">
        <f>SUM(J32:L32)/SUM(J32:M32)</f>
        <v/>
      </c>
      <c r="P32" s="5">
        <f>MAX(J32:L32)/SUM(J32:L32)</f>
        <v/>
      </c>
    </row>
    <row r="33">
      <c r="A33" t="inlineStr">
        <is>
          <t>Primer año</t>
        </is>
      </c>
      <c r="B33" t="inlineStr">
        <is>
          <t>Primer periodo</t>
        </is>
      </c>
      <c r="C33" t="n">
        <v>31</v>
      </c>
      <c r="D33" t="n">
        <v>31</v>
      </c>
      <c r="E33" s="3" t="n">
        <v>45596</v>
      </c>
      <c r="F33" t="inlineStr">
        <is>
          <t>Punto de Acuerdo</t>
        </is>
      </c>
      <c r="G33" t="inlineStr">
        <is>
          <t>Acuerdo por el que se exhorta a los doscientos quince ayuntamientos y a los dos concejos municipales en su calidad de sujetos obligados, para que observen la guía entrega recepción en materia de transparencia</t>
        </is>
      </c>
      <c r="H33" t="n">
        <v>10</v>
      </c>
      <c r="I33" t="inlineStr">
        <is>
          <t>Transparencia y Rendición de Cuentas</t>
        </is>
      </c>
      <c r="J33" t="n">
        <v>40</v>
      </c>
      <c r="K33" t="n">
        <v>0</v>
      </c>
      <c r="L33" t="n">
        <v>0</v>
      </c>
      <c r="M33" t="n">
        <v>1</v>
      </c>
      <c r="N33">
        <f>SUM(J33:M33)</f>
        <v/>
      </c>
      <c r="O33" s="4">
        <f>SUM(J33:L33)/SUM(J33:M33)</f>
        <v/>
      </c>
      <c r="P33" s="5">
        <f>MAX(J33:L33)/SUM(J33:L33)</f>
        <v/>
      </c>
    </row>
    <row r="34">
      <c r="A34" t="inlineStr">
        <is>
          <t>Primer año</t>
        </is>
      </c>
      <c r="B34" t="inlineStr">
        <is>
          <t>Primer periodo</t>
        </is>
      </c>
      <c r="C34" t="n">
        <v>32</v>
      </c>
      <c r="D34" t="n">
        <v>32</v>
      </c>
      <c r="E34" s="3" t="n">
        <v>45602</v>
      </c>
      <c r="F34" t="inlineStr">
        <is>
          <t>Punto de Acuerdo</t>
        </is>
      </c>
      <c r="G34" t="inlineStr">
        <is>
          <t>Acuerdo por el cual el pleno de la Sexagésima Segunda Legislatura aprueba la elección de la persona que presidirá la Comisión de Derechos Humanos del Estado de Puebla</t>
        </is>
      </c>
      <c r="H34" t="n">
        <v>14</v>
      </c>
      <c r="I34" t="inlineStr">
        <is>
          <t>Derechos Humanos</t>
        </is>
      </c>
      <c r="J34" t="n">
        <v>35</v>
      </c>
      <c r="K34" t="n">
        <v>0</v>
      </c>
      <c r="L34" t="n">
        <v>4</v>
      </c>
      <c r="M34" t="n">
        <v>0</v>
      </c>
      <c r="N34">
        <f>SUM(J34:M34)</f>
        <v/>
      </c>
      <c r="O34" s="4">
        <f>SUM(J34:L34)/SUM(J34:M34)</f>
        <v/>
      </c>
      <c r="P34" s="5">
        <f>MAX(J34:L34)/SUM(J34:L34)</f>
        <v/>
      </c>
    </row>
    <row r="35">
      <c r="A35" t="inlineStr">
        <is>
          <t>Primer año</t>
        </is>
      </c>
      <c r="B35" t="inlineStr">
        <is>
          <t>Primer periodo</t>
        </is>
      </c>
      <c r="C35" t="n">
        <v>33</v>
      </c>
      <c r="D35" t="n">
        <v>33</v>
      </c>
      <c r="E35" s="3" t="n">
        <v>45602</v>
      </c>
      <c r="F35" t="inlineStr">
        <is>
          <t>Iniciativa</t>
        </is>
      </c>
      <c r="G35" t="inlineStr">
        <is>
          <t>Dictamen con minuta de decreto por el cual se reforma el artículo primero del decreto por el que se instituye la Medalla Ángeles Espinosa Yglesias</t>
        </is>
      </c>
      <c r="H35" t="n">
        <v>8</v>
      </c>
      <c r="I35" t="inlineStr">
        <is>
          <t>Educación y Cultura</t>
        </is>
      </c>
      <c r="J35" t="n">
        <v>40</v>
      </c>
      <c r="K35" t="n">
        <v>0</v>
      </c>
      <c r="L35" t="n">
        <v>0</v>
      </c>
      <c r="M35" t="n">
        <v>0</v>
      </c>
      <c r="N35">
        <f>SUM(J35:M35)</f>
        <v/>
      </c>
      <c r="O35" s="4">
        <f>SUM(J35:L35)/SUM(J35:M35)</f>
        <v/>
      </c>
      <c r="P35" s="5">
        <f>MAX(J35:L35)/SUM(J35:L35)</f>
        <v/>
      </c>
    </row>
    <row r="36">
      <c r="A36" t="inlineStr">
        <is>
          <t>Primer año</t>
        </is>
      </c>
      <c r="B36" t="inlineStr">
        <is>
          <t>Primer periodo</t>
        </is>
      </c>
      <c r="C36" t="n">
        <v>34</v>
      </c>
      <c r="D36" t="n">
        <v>34</v>
      </c>
      <c r="E36" s="3" t="n">
        <v>45610</v>
      </c>
      <c r="F36" t="inlineStr">
        <is>
          <t>Iniciativa</t>
        </is>
      </c>
      <c r="G36" t="inlineStr">
        <is>
          <t>Dictamen con minuta de decreto por el cual se reforma y adiciona la fracción XII del apartado A del artículo 123 de la Constitución Política de los Estados Unidos Mexicanos, en materia de vivienda para las personas trabajadoras</t>
        </is>
      </c>
      <c r="H36" t="n">
        <v>16</v>
      </c>
      <c r="I36" t="inlineStr">
        <is>
          <t>Trabajo y Previsión Social</t>
        </is>
      </c>
      <c r="J36" t="n">
        <v>41</v>
      </c>
      <c r="K36" t="n">
        <v>0</v>
      </c>
      <c r="L36" t="n">
        <v>0</v>
      </c>
      <c r="M36" t="n">
        <v>0</v>
      </c>
      <c r="N36">
        <f>SUM(J36:M36)</f>
        <v/>
      </c>
      <c r="O36" s="4">
        <f>SUM(J36:L36)/SUM(J36:M36)</f>
        <v/>
      </c>
      <c r="P36" s="5">
        <f>MAX(J36:L36)/SUM(J36:L36)</f>
        <v/>
      </c>
    </row>
    <row r="37">
      <c r="A37" t="inlineStr">
        <is>
          <t>Primer año</t>
        </is>
      </c>
      <c r="B37" t="inlineStr">
        <is>
          <t>Primer periodo</t>
        </is>
      </c>
      <c r="C37" t="n">
        <v>35</v>
      </c>
      <c r="D37" t="n">
        <v>35</v>
      </c>
      <c r="E37" s="3" t="n">
        <v>45610</v>
      </c>
      <c r="F37" t="inlineStr">
        <is>
          <t>Iniciativa</t>
        </is>
      </c>
      <c r="G37" t="inlineStr">
        <is>
          <t>Dictamen con minuta de decreto por el cual se reforman y adicionan los artículos 4o., 21, 41, 73, 116, 122 y 123 de la Constitución Política de los Estados Unidos Mexicanos, en materia de igualdad sustantiva, perspectiva de género, derecho de las mujeres a una vida libre de violencia y erradicación de la brecha salarial por razones de género</t>
        </is>
      </c>
      <c r="H37" t="n">
        <v>20</v>
      </c>
      <c r="I37" t="inlineStr">
        <is>
          <t>Justicia y Estado de Derecho en temas de Mujeres</t>
        </is>
      </c>
      <c r="J37" t="n">
        <v>41</v>
      </c>
      <c r="K37" t="n">
        <v>0</v>
      </c>
      <c r="L37" t="n">
        <v>0</v>
      </c>
      <c r="M37" t="n">
        <v>0</v>
      </c>
      <c r="N37">
        <f>SUM(J37:M37)</f>
        <v/>
      </c>
      <c r="O37" s="4">
        <f>SUM(J37:L37)/SUM(J37:M37)</f>
        <v/>
      </c>
      <c r="P37" s="5">
        <f>MAX(J37:L37)/SUM(J37:L37)</f>
        <v/>
      </c>
    </row>
    <row r="38">
      <c r="A38" t="inlineStr">
        <is>
          <t>Primer año</t>
        </is>
      </c>
      <c r="B38" t="inlineStr">
        <is>
          <t>Primer periodo</t>
        </is>
      </c>
      <c r="C38" t="n">
        <v>36</v>
      </c>
      <c r="D38" t="n">
        <v>36</v>
      </c>
      <c r="E38" s="3" t="n">
        <v>45617</v>
      </c>
      <c r="F38" t="inlineStr">
        <is>
          <t>Punto de Acuerdo</t>
        </is>
      </c>
      <c r="G38" t="inlineStr">
        <is>
          <t>Acuerdo por el cual se habilita el inmueble ubicado en avenida 32 oriente número 202, colonia mártires del trabajo, de esta ciudad de , como recinto oficial para el desarrollo de la sesión solemne de la sexagésima segunda legislatura del honorable congreso del estado, el día veintidós de noviembre del presente año, en la que se desahogará el informe de gobierno del titular del poder ejecutivo del estado</t>
        </is>
      </c>
      <c r="H38" t="n">
        <v>18</v>
      </c>
      <c r="I38" t="inlineStr">
        <is>
          <t>Administración Pública</t>
        </is>
      </c>
      <c r="J38" t="n">
        <v>41</v>
      </c>
      <c r="K38" t="n">
        <v>0</v>
      </c>
      <c r="L38" t="n">
        <v>0</v>
      </c>
      <c r="M38" t="n">
        <v>0</v>
      </c>
      <c r="N38">
        <f>SUM(J38:M38)</f>
        <v/>
      </c>
      <c r="O38" s="4">
        <f>SUM(J38:L38)/SUM(J38:M38)</f>
        <v/>
      </c>
      <c r="P38" s="5">
        <f>MAX(J38:L38)/SUM(J38:L38)</f>
        <v/>
      </c>
    </row>
    <row r="39">
      <c r="A39" t="inlineStr">
        <is>
          <t>Primer año</t>
        </is>
      </c>
      <c r="B39" t="inlineStr">
        <is>
          <t>Primer periodo</t>
        </is>
      </c>
      <c r="C39" t="n">
        <v>37</v>
      </c>
      <c r="D39" t="n">
        <v>37</v>
      </c>
      <c r="E39" s="3" t="n">
        <v>45624</v>
      </c>
      <c r="F39" t="inlineStr">
        <is>
          <t>Punto de Acuerdo</t>
        </is>
      </c>
      <c r="G39" t="inlineStr">
        <is>
          <t>Acuerdo por el cual se concede licencia al ciudadano José Luis García Parra, para separarse del cargo de diputado local de la sexagésima segunda legislatura por tiempo indefinido mayor a treinta días</t>
        </is>
      </c>
      <c r="H39" t="n">
        <v>19</v>
      </c>
      <c r="I39" t="inlineStr">
        <is>
          <t>Internos del Congreso</t>
        </is>
      </c>
      <c r="J39" t="n">
        <v>38</v>
      </c>
      <c r="K39" t="n">
        <v>0</v>
      </c>
      <c r="L39" t="n">
        <v>0</v>
      </c>
      <c r="M39" t="n">
        <v>0</v>
      </c>
      <c r="N39">
        <f>SUM(J39:M39)</f>
        <v/>
      </c>
      <c r="O39" s="4">
        <f>SUM(J39:L39)/SUM(J39:M39)</f>
        <v/>
      </c>
      <c r="P39" s="5">
        <f>MAX(J39:L39)/SUM(J39:L39)</f>
        <v/>
      </c>
    </row>
    <row r="40">
      <c r="A40" t="inlineStr">
        <is>
          <t>Primer año</t>
        </is>
      </c>
      <c r="B40" t="inlineStr">
        <is>
          <t>Primer periodo</t>
        </is>
      </c>
      <c r="C40" t="n">
        <v>38</v>
      </c>
      <c r="D40" t="n">
        <v>38</v>
      </c>
      <c r="E40" s="3" t="n">
        <v>45624</v>
      </c>
      <c r="F40" t="inlineStr">
        <is>
          <t>Punto de Acuerdo</t>
        </is>
      </c>
      <c r="G40" t="inlineStr">
        <is>
          <t>Acuerdo por el cual se aprueba la licencia por tiempo indeterminado al magistrado José Octavio Pérez Nava</t>
        </is>
      </c>
      <c r="H40" t="n">
        <v>19</v>
      </c>
      <c r="I40" t="inlineStr">
        <is>
          <t>Internos del Congreso</t>
        </is>
      </c>
      <c r="J40" t="n">
        <v>39</v>
      </c>
      <c r="K40" t="n">
        <v>0</v>
      </c>
      <c r="L40" t="n">
        <v>0</v>
      </c>
      <c r="M40" t="n">
        <v>0</v>
      </c>
      <c r="N40">
        <f>SUM(J40:M40)</f>
        <v/>
      </c>
      <c r="O40" s="4">
        <f>SUM(J40:L40)/SUM(J40:M40)</f>
        <v/>
      </c>
      <c r="P40" s="5">
        <f>MAX(J40:L40)/SUM(J40:L40)</f>
        <v/>
      </c>
    </row>
    <row r="41">
      <c r="A41" t="inlineStr">
        <is>
          <t>Primer año</t>
        </is>
      </c>
      <c r="B41" t="inlineStr">
        <is>
          <t>Primer periodo</t>
        </is>
      </c>
      <c r="C41" t="n">
        <v>39</v>
      </c>
      <c r="D41" t="n">
        <v>39</v>
      </c>
      <c r="E41" s="3" t="n">
        <v>45624</v>
      </c>
      <c r="F41" t="inlineStr">
        <is>
          <t>Iniciativa</t>
        </is>
      </c>
      <c r="G41" t="inlineStr">
        <is>
          <t>Dictamen con minuta de decreto por el cual se aprueba la Ley de Ingresos del Estado de Puebla para el ejercicio fiscal dos mil veinticinco</t>
        </is>
      </c>
      <c r="H41" t="n">
        <v>7</v>
      </c>
      <c r="I41" t="inlineStr">
        <is>
          <t>Impuestos, Finanzas Públicas, Patrimonio estatal y municipal</t>
        </is>
      </c>
      <c r="J41" t="n">
        <v>40</v>
      </c>
      <c r="K41" t="n">
        <v>0</v>
      </c>
      <c r="L41" t="n">
        <v>0</v>
      </c>
      <c r="M41" t="n">
        <v>0</v>
      </c>
      <c r="N41">
        <f>SUM(J41:M41)</f>
        <v/>
      </c>
      <c r="O41" s="4">
        <f>SUM(J41:L41)/SUM(J41:M41)</f>
        <v/>
      </c>
      <c r="P41" s="5">
        <f>MAX(J41:L41)/SUM(J41:L41)</f>
        <v/>
      </c>
    </row>
    <row r="42">
      <c r="A42" t="inlineStr">
        <is>
          <t>Primer año</t>
        </is>
      </c>
      <c r="B42" t="inlineStr">
        <is>
          <t>Primer periodo</t>
        </is>
      </c>
      <c r="C42" t="n">
        <v>40</v>
      </c>
      <c r="D42" t="n">
        <v>40</v>
      </c>
      <c r="E42" s="3" t="n">
        <v>45624</v>
      </c>
      <c r="F42" t="inlineStr">
        <is>
          <t>Iniciativa</t>
        </is>
      </c>
      <c r="G42" t="inlineStr">
        <is>
          <t>Dictamen con minuta de decreto por el cual se expiden las Leyes de Ingresos Municipales y valores catastrales para setenta municipios</t>
        </is>
      </c>
      <c r="H42" t="n">
        <v>7</v>
      </c>
      <c r="I42" t="inlineStr">
        <is>
          <t>Impuestos, Finanzas Públicas, Patrimonio estatal y municipal</t>
        </is>
      </c>
      <c r="J42" t="n">
        <v>40</v>
      </c>
      <c r="K42" t="n">
        <v>0</v>
      </c>
      <c r="L42" t="n">
        <v>0</v>
      </c>
      <c r="M42" t="n">
        <v>0</v>
      </c>
      <c r="N42">
        <f>SUM(J42:M42)</f>
        <v/>
      </c>
      <c r="O42" s="4">
        <f>SUM(J42:L42)/SUM(J42:M42)</f>
        <v/>
      </c>
      <c r="P42" s="5">
        <f>MAX(J42:L42)/SUM(J42:L42)</f>
        <v/>
      </c>
    </row>
    <row r="43">
      <c r="A43" t="inlineStr">
        <is>
          <t>Primer año</t>
        </is>
      </c>
      <c r="B43" t="inlineStr">
        <is>
          <t>Primer periodo</t>
        </is>
      </c>
      <c r="C43" t="n">
        <v>41</v>
      </c>
      <c r="D43" t="n">
        <v>41</v>
      </c>
      <c r="E43" s="3" t="n">
        <v>45624</v>
      </c>
      <c r="F43" t="inlineStr">
        <is>
          <t>Iniciativa</t>
        </is>
      </c>
      <c r="G43" t="inlineStr">
        <is>
          <t>Dictamen con minuta de decreto por el cual se expide la Ley Orgánica de la Administración Pública del Estado de Puebla</t>
        </is>
      </c>
      <c r="H43" t="n">
        <v>18</v>
      </c>
      <c r="I43" t="inlineStr">
        <is>
          <t>Administración Pública</t>
        </is>
      </c>
      <c r="J43" t="n">
        <v>41</v>
      </c>
      <c r="K43" t="n">
        <v>0</v>
      </c>
      <c r="L43" t="n">
        <v>0</v>
      </c>
      <c r="M43" t="n">
        <v>0</v>
      </c>
      <c r="N43">
        <f>SUM(J43:M43)</f>
        <v/>
      </c>
      <c r="O43" s="4">
        <f>SUM(J43:L43)/SUM(J43:M43)</f>
        <v/>
      </c>
      <c r="P43" s="5">
        <f>MAX(J43:L43)/SUM(J43:L43)</f>
        <v/>
      </c>
    </row>
    <row r="44">
      <c r="A44" t="inlineStr">
        <is>
          <t>Primer año</t>
        </is>
      </c>
      <c r="B44" t="inlineStr">
        <is>
          <t>Primer periodo</t>
        </is>
      </c>
      <c r="C44" t="n">
        <v>42</v>
      </c>
      <c r="D44" t="n">
        <v>42</v>
      </c>
      <c r="E44" s="3" t="n">
        <v>45624</v>
      </c>
      <c r="F44" t="inlineStr">
        <is>
          <t>Iniciativa</t>
        </is>
      </c>
      <c r="G44" t="inlineStr">
        <is>
          <t>Dictamen con minuta Proyecto de decreto por el cual se reforma y adiciona el artículo 21 de la Constitución Política en materia de seguridad pública</t>
        </is>
      </c>
      <c r="H44" t="n">
        <v>3</v>
      </c>
      <c r="I44" t="inlineStr">
        <is>
          <t>Seguridad Pública, Protección Civil y Narcotráfico</t>
        </is>
      </c>
      <c r="J44" t="n">
        <v>41</v>
      </c>
      <c r="K44" t="n">
        <v>0</v>
      </c>
      <c r="L44" t="n">
        <v>0</v>
      </c>
      <c r="M44" t="n">
        <v>0</v>
      </c>
      <c r="N44">
        <f>SUM(J44:M44)</f>
        <v/>
      </c>
      <c r="O44" s="4">
        <f>SUM(J44:L44)/SUM(J44:M44)</f>
        <v/>
      </c>
      <c r="P44" s="5">
        <f>MAX(J44:L44)/SUM(J44:L44)</f>
        <v/>
      </c>
    </row>
    <row r="45">
      <c r="A45" t="inlineStr">
        <is>
          <t>Primer año</t>
        </is>
      </c>
      <c r="B45" t="inlineStr">
        <is>
          <t>Primer periodo</t>
        </is>
      </c>
      <c r="C45" t="n">
        <v>43</v>
      </c>
      <c r="D45" t="n">
        <v>43</v>
      </c>
      <c r="E45" s="3" t="n">
        <v>45624</v>
      </c>
      <c r="F45" t="inlineStr">
        <is>
          <t>Iniciativa</t>
        </is>
      </c>
      <c r="G45" t="inlineStr">
        <is>
          <t>Dictamen con minuta Proyecto de decreto por el cual se reforman y adicionan los artículos 3º, 4º y 73 de la Constitución Política en materia de protección y cuidado animal</t>
        </is>
      </c>
      <c r="H45" t="n">
        <v>5</v>
      </c>
      <c r="I45" t="inlineStr">
        <is>
          <t>Medio Ambiente</t>
        </is>
      </c>
      <c r="J45" t="n">
        <v>41</v>
      </c>
      <c r="K45" t="n">
        <v>0</v>
      </c>
      <c r="L45" t="n">
        <v>0</v>
      </c>
      <c r="M45" t="n">
        <v>0</v>
      </c>
      <c r="N45">
        <f>SUM(J45:M45)</f>
        <v/>
      </c>
      <c r="O45" s="4">
        <f>SUM(J45:L45)/SUM(J45:M45)</f>
        <v/>
      </c>
      <c r="P45" s="5">
        <f>MAX(J45:L45)/SUM(J45:L45)</f>
        <v/>
      </c>
    </row>
    <row r="46">
      <c r="A46" t="inlineStr">
        <is>
          <t>Primer año</t>
        </is>
      </c>
      <c r="B46" t="inlineStr">
        <is>
          <t>Primer periodo</t>
        </is>
      </c>
      <c r="C46" t="n">
        <v>44</v>
      </c>
      <c r="D46" t="n">
        <v>44</v>
      </c>
      <c r="E46" s="3" t="n">
        <v>45624</v>
      </c>
      <c r="F46" t="inlineStr">
        <is>
          <t>Iniciativa</t>
        </is>
      </c>
      <c r="G46" t="inlineStr">
        <is>
          <t>Dictamen con minuta de decreto por el cual se reforman y derogan diversas disposiciones de la Ley de Imagen Institucional del Estado de Puebla</t>
        </is>
      </c>
      <c r="H46" t="n">
        <v>18</v>
      </c>
      <c r="I46" t="inlineStr">
        <is>
          <t>Administración Pública</t>
        </is>
      </c>
      <c r="J46" t="n">
        <v>33</v>
      </c>
      <c r="K46" t="n">
        <v>0</v>
      </c>
      <c r="L46" t="n">
        <v>8</v>
      </c>
      <c r="M46" t="n">
        <v>0</v>
      </c>
      <c r="N46">
        <f>SUM(J46:M46)</f>
        <v/>
      </c>
      <c r="O46" s="4">
        <f>SUM(J46:L46)/SUM(J46:M46)</f>
        <v/>
      </c>
      <c r="P46" s="5">
        <f>MAX(J46:L46)/SUM(J46:L46)</f>
        <v/>
      </c>
    </row>
    <row r="47">
      <c r="A47" t="inlineStr">
        <is>
          <t>Primer año</t>
        </is>
      </c>
      <c r="B47" t="inlineStr">
        <is>
          <t>Primer periodo</t>
        </is>
      </c>
      <c r="C47" t="n">
        <v>45</v>
      </c>
      <c r="D47" t="n">
        <v>45</v>
      </c>
      <c r="E47" s="3" t="n">
        <v>45631</v>
      </c>
      <c r="F47" t="inlineStr">
        <is>
          <t>Punto de Acuerdo</t>
        </is>
      </c>
      <c r="G47" t="inlineStr">
        <is>
          <t>Acuerdo por el cual la elección y nombramiento de dos magistraturas del Tribunal Superior de Justicia del Estado</t>
        </is>
      </c>
      <c r="H47" t="n">
        <v>18</v>
      </c>
      <c r="I47" t="inlineStr">
        <is>
          <t>Administración Pública</t>
        </is>
      </c>
      <c r="J47" t="n">
        <v>33</v>
      </c>
      <c r="K47" t="n">
        <v>0</v>
      </c>
      <c r="L47" t="n">
        <v>5</v>
      </c>
      <c r="M47" t="n">
        <v>3</v>
      </c>
      <c r="N47">
        <f>SUM(J47:M47)</f>
        <v/>
      </c>
      <c r="O47" s="4">
        <f>SUM(J47:L47)/SUM(J47:M47)</f>
        <v/>
      </c>
      <c r="P47" s="5">
        <f>MAX(J47:L47)/SUM(J47:L47)</f>
        <v/>
      </c>
    </row>
    <row r="48">
      <c r="A48" t="inlineStr">
        <is>
          <t>Primer año</t>
        </is>
      </c>
      <c r="B48" t="inlineStr">
        <is>
          <t>Primer periodo</t>
        </is>
      </c>
      <c r="C48" t="n">
        <v>46</v>
      </c>
      <c r="D48" t="n">
        <v>46</v>
      </c>
      <c r="E48" s="3" t="n">
        <v>45631</v>
      </c>
      <c r="F48" t="inlineStr">
        <is>
          <t>Punto de Acuerdo</t>
        </is>
      </c>
      <c r="G48" t="inlineStr">
        <is>
          <t>Acuerdo por el cual la elección y nombramiento de un magistrado del Tribunal de Justicia Administrativa del Poder Judicial del Estado</t>
        </is>
      </c>
      <c r="H48" t="n">
        <v>18</v>
      </c>
      <c r="I48" t="inlineStr">
        <is>
          <t>Administración Pública</t>
        </is>
      </c>
      <c r="J48" t="n">
        <v>32</v>
      </c>
      <c r="K48" t="n">
        <v>0</v>
      </c>
      <c r="L48" t="n">
        <v>6</v>
      </c>
      <c r="M48" t="n">
        <v>3</v>
      </c>
      <c r="N48">
        <f>SUM(J48:M48)</f>
        <v/>
      </c>
      <c r="O48" s="4">
        <f>SUM(J48:L48)/SUM(J48:M48)</f>
        <v/>
      </c>
      <c r="P48" s="5">
        <f>MAX(J48:L48)/SUM(J48:L48)</f>
        <v/>
      </c>
    </row>
    <row r="49">
      <c r="A49" t="inlineStr">
        <is>
          <t>Primer año</t>
        </is>
      </c>
      <c r="B49" t="inlineStr">
        <is>
          <t>Primer periodo</t>
        </is>
      </c>
      <c r="C49" t="n">
        <v>47</v>
      </c>
      <c r="D49" t="n">
        <v>47</v>
      </c>
      <c r="E49" s="3" t="n">
        <v>45631</v>
      </c>
      <c r="F49" t="inlineStr">
        <is>
          <t>Iniciativa</t>
        </is>
      </c>
      <c r="G49" t="inlineStr">
        <is>
          <t>Dictamen con minuta de decreto por el cual el dictamen con minuta proyecto de decreto que reforma el párrafo segundo del artículo 19 de la Constitución Política de los Estados Unidos Mexicanos, en materia de prisión preventiva oficiosa</t>
        </is>
      </c>
      <c r="H49" t="n">
        <v>14</v>
      </c>
      <c r="I49" t="inlineStr">
        <is>
          <t>Justicia y Estado de Derecho</t>
        </is>
      </c>
      <c r="J49" t="n">
        <v>32</v>
      </c>
      <c r="K49" t="n">
        <v>6</v>
      </c>
      <c r="L49" t="n">
        <v>0</v>
      </c>
      <c r="M49" t="n">
        <v>3</v>
      </c>
      <c r="N49">
        <f>SUM(J49:M49)</f>
        <v/>
      </c>
      <c r="O49" s="4">
        <f>SUM(J49:L49)/SUM(J49:M49)</f>
        <v/>
      </c>
      <c r="P49" s="5">
        <f>MAX(J49:L49)/SUM(J49:L49)</f>
        <v/>
      </c>
    </row>
    <row r="50">
      <c r="A50" t="inlineStr">
        <is>
          <t>Primer año</t>
        </is>
      </c>
      <c r="B50" t="inlineStr">
        <is>
          <t>Primer periodo</t>
        </is>
      </c>
      <c r="C50" t="n">
        <v>48</v>
      </c>
      <c r="D50" t="n">
        <v>48</v>
      </c>
      <c r="E50" s="3" t="n">
        <v>45631</v>
      </c>
      <c r="F50" t="inlineStr">
        <is>
          <t>Iniciativa</t>
        </is>
      </c>
      <c r="G50" t="inlineStr">
        <is>
          <t>Dictamen con minuta de decreto por el cual el dictamen con minuta proyecto de decreto que reforma, adiciona y deroga diversas disposiciones de la Constitución Política de los Estados Unidos Mexicanos, en materia de simplificación orgánica</t>
        </is>
      </c>
      <c r="H50" t="n">
        <v>18</v>
      </c>
      <c r="I50" t="inlineStr">
        <is>
          <t>Administración Pública</t>
        </is>
      </c>
      <c r="J50" t="n">
        <v>33</v>
      </c>
      <c r="K50" t="n">
        <v>6</v>
      </c>
      <c r="L50" t="n">
        <v>0</v>
      </c>
      <c r="M50" t="n">
        <v>2</v>
      </c>
      <c r="N50">
        <f>SUM(J50:M50)</f>
        <v/>
      </c>
      <c r="O50" s="4">
        <f>SUM(J50:L50)/SUM(J50:M50)</f>
        <v/>
      </c>
      <c r="P50" s="5">
        <f>MAX(J50:L50)/SUM(J50:L50)</f>
        <v/>
      </c>
    </row>
    <row r="51">
      <c r="A51" t="inlineStr">
        <is>
          <t>Primer año</t>
        </is>
      </c>
      <c r="B51" t="inlineStr">
        <is>
          <t>Primer periodo</t>
        </is>
      </c>
      <c r="C51" t="n">
        <v>49</v>
      </c>
      <c r="D51" t="n">
        <v>49</v>
      </c>
      <c r="E51" s="3" t="n">
        <v>45631</v>
      </c>
      <c r="F51" t="inlineStr">
        <is>
          <t>Iniciativa</t>
        </is>
      </c>
      <c r="G51" t="inlineStr">
        <is>
          <t>Dictamen con minuta de decreto por el cual los dictámenes con minuta de decreto por los que se expiden las leyes de ingresos municipales para el ejercicio fiscal dos mil veinticinco y la zonificación catastral y tablas de valores unitarios de suelos urbanos y rústicos, así como los valores catastrales de construcción por metro cuadrado</t>
        </is>
      </c>
      <c r="H51" t="n">
        <v>7</v>
      </c>
      <c r="I51" t="inlineStr">
        <is>
          <t>Impuestos, Finanzas Públicas, Patrimonio estatal y municipal</t>
        </is>
      </c>
      <c r="J51" t="n">
        <v>39</v>
      </c>
      <c r="K51" t="n">
        <v>0</v>
      </c>
      <c r="L51" t="n">
        <v>0</v>
      </c>
      <c r="M51" t="n">
        <v>2</v>
      </c>
      <c r="N51">
        <f>SUM(J51:M51)</f>
        <v/>
      </c>
      <c r="O51" s="4">
        <f>SUM(J51:L51)/SUM(J51:M51)</f>
        <v/>
      </c>
      <c r="P51" s="5">
        <f>MAX(J51:L51)/SUM(J51:L51)</f>
        <v/>
      </c>
    </row>
    <row r="52">
      <c r="A52" t="inlineStr">
        <is>
          <t>Primer año</t>
        </is>
      </c>
      <c r="B52" t="inlineStr">
        <is>
          <t>Primer periodo</t>
        </is>
      </c>
      <c r="C52" t="n">
        <v>50</v>
      </c>
      <c r="D52" t="n">
        <v>50</v>
      </c>
      <c r="E52" s="3" t="n">
        <v>45638</v>
      </c>
      <c r="F52" t="inlineStr">
        <is>
          <t>Punto de Acuerdo</t>
        </is>
      </c>
      <c r="G52" t="inlineStr">
        <is>
          <t>Acuerdo por el cual se habilita el inmueble ubicado en avenida 32 oriente número 202, colonia mártires del trabajo, de esta ciudad de , , como recinto oficial para el desarrollo de la sesión solemne de la sexagésima segunda legislatura del honorable congreso del estado, el día catorce de diciembre del presente año</t>
        </is>
      </c>
      <c r="H52" t="n">
        <v>18</v>
      </c>
      <c r="I52" t="inlineStr">
        <is>
          <t>Administración Pública</t>
        </is>
      </c>
      <c r="J52" t="n">
        <v>41</v>
      </c>
      <c r="K52" t="n">
        <v>0</v>
      </c>
      <c r="L52" t="n">
        <v>0</v>
      </c>
      <c r="M52" t="n">
        <v>0</v>
      </c>
      <c r="N52">
        <f>SUM(J52:M52)</f>
        <v/>
      </c>
      <c r="O52" s="4">
        <f>SUM(J52:L52)/SUM(J52:M52)</f>
        <v/>
      </c>
      <c r="P52" s="5">
        <f>MAX(J52:L52)/SUM(J52:L52)</f>
        <v/>
      </c>
    </row>
    <row r="53">
      <c r="A53" t="inlineStr">
        <is>
          <t>Primer año</t>
        </is>
      </c>
      <c r="B53" t="inlineStr">
        <is>
          <t>Primer periodo</t>
        </is>
      </c>
      <c r="C53" t="n">
        <v>51</v>
      </c>
      <c r="D53" t="n">
        <v>51</v>
      </c>
      <c r="E53" s="3" t="n">
        <v>45638</v>
      </c>
      <c r="F53" t="inlineStr">
        <is>
          <t>Punto de Acuerdo</t>
        </is>
      </c>
      <c r="G53" t="inlineStr">
        <is>
          <t>Acuerdo por el cual se concede licencia al ciudadano José Samuel Aguilar Pala, para separarse del cargo de diputado local de la sexagésima segunda legislatura por tiempo indefinido mayor a treinta días</t>
        </is>
      </c>
      <c r="H53" t="n">
        <v>19</v>
      </c>
      <c r="I53" t="inlineStr">
        <is>
          <t>Internos del Congreso</t>
        </is>
      </c>
      <c r="J53" t="n">
        <v>41</v>
      </c>
      <c r="K53" t="n">
        <v>0</v>
      </c>
      <c r="L53" t="n">
        <v>0</v>
      </c>
      <c r="M53" t="n">
        <v>0</v>
      </c>
      <c r="N53">
        <f>SUM(J53:M53)</f>
        <v/>
      </c>
      <c r="O53" s="4">
        <f>SUM(J53:L53)/SUM(J53:M53)</f>
        <v/>
      </c>
      <c r="P53" s="5">
        <f>MAX(J53:L53)/SUM(J53:L53)</f>
        <v/>
      </c>
    </row>
    <row r="54">
      <c r="A54" t="inlineStr">
        <is>
          <t>Primer año</t>
        </is>
      </c>
      <c r="B54" t="inlineStr">
        <is>
          <t>Primer periodo</t>
        </is>
      </c>
      <c r="C54" t="n">
        <v>52</v>
      </c>
      <c r="D54" t="n">
        <v>52</v>
      </c>
      <c r="E54" s="3" t="n">
        <v>45638</v>
      </c>
      <c r="F54" t="inlineStr">
        <is>
          <t>Iniciativa</t>
        </is>
      </c>
      <c r="G54" t="inlineStr">
        <is>
          <t>Dictamen con minuta de decreto por el cual el dictamen con minuta de ley de egresos del estado de para el ejercicio fiscal dos mil veinticinco</t>
        </is>
      </c>
      <c r="H54" t="n">
        <v>7</v>
      </c>
      <c r="I54" t="inlineStr">
        <is>
          <t>Impuestos, Finanzas Públicas, Patrimonio estatal y municipal</t>
        </is>
      </c>
      <c r="J54" t="n">
        <v>41</v>
      </c>
      <c r="K54" t="n">
        <v>0</v>
      </c>
      <c r="L54" t="n">
        <v>0</v>
      </c>
      <c r="M54" t="n">
        <v>0</v>
      </c>
      <c r="N54">
        <f>SUM(J54:M54)</f>
        <v/>
      </c>
      <c r="O54" s="4">
        <f>SUM(J54:L54)/SUM(J54:M54)</f>
        <v/>
      </c>
      <c r="P54" s="5">
        <f>MAX(J54:L54)/SUM(J54:L54)</f>
        <v/>
      </c>
    </row>
    <row r="55">
      <c r="A55" t="inlineStr">
        <is>
          <t>Primer año</t>
        </is>
      </c>
      <c r="B55" t="inlineStr">
        <is>
          <t>Primer periodo</t>
        </is>
      </c>
      <c r="C55" t="n">
        <v>53</v>
      </c>
      <c r="D55" t="n">
        <v>53</v>
      </c>
      <c r="E55" s="3" t="n">
        <v>45638</v>
      </c>
      <c r="F55" t="inlineStr">
        <is>
          <t>Iniciativa</t>
        </is>
      </c>
      <c r="G55" t="inlineStr">
        <is>
          <t>Dictamen con minuta de decreto por el cual el dictamen con minuta de decreto por el que se expide la ley de ingresos del municipio de , para el ejercicio fiscal 2025; y la zonificación catastral y tablas de valores unitarios de suelos urbanos y rústicos, así como los valores catastrales de construcción por metro cuadrado</t>
        </is>
      </c>
      <c r="H55" t="n">
        <v>7</v>
      </c>
      <c r="I55" t="inlineStr">
        <is>
          <t>Impuestos, Finanzas Públicas, Patrimonio estatal y municipal</t>
        </is>
      </c>
      <c r="J55" t="n">
        <v>41</v>
      </c>
      <c r="K55" t="n">
        <v>0</v>
      </c>
      <c r="L55" t="n">
        <v>0</v>
      </c>
      <c r="M55" t="n">
        <v>0</v>
      </c>
      <c r="N55">
        <f>SUM(J55:M55)</f>
        <v/>
      </c>
      <c r="O55" s="4">
        <f>SUM(J55:L55)/SUM(J55:M55)</f>
        <v/>
      </c>
      <c r="P55" s="5">
        <f>MAX(J55:L55)/SUM(J55:L55)</f>
        <v/>
      </c>
    </row>
    <row r="56">
      <c r="A56" t="inlineStr">
        <is>
          <t>Primer año</t>
        </is>
      </c>
      <c r="B56" t="inlineStr">
        <is>
          <t>Primer periodo</t>
        </is>
      </c>
      <c r="C56" t="n">
        <v>54</v>
      </c>
      <c r="D56" t="n">
        <v>54</v>
      </c>
      <c r="E56" s="3" t="n">
        <v>45638</v>
      </c>
      <c r="F56" t="inlineStr">
        <is>
          <t>Iniciativa</t>
        </is>
      </c>
      <c r="G56" t="inlineStr">
        <is>
          <t>Dictamen con minuta de decreto por el cual los dictámenes con minuta de decreto por los que se expiden las leyes de ingresos municipales para el ejercicio fiscal dos mil veinticinco; y la zonificación catastral y tablas de valores unitarios de suelos urbanos y rústicos, así como los valores catastrales de construcción por metro cuadrado de los ochenta y dos municipios</t>
        </is>
      </c>
      <c r="H56" t="n">
        <v>7</v>
      </c>
      <c r="I56" t="inlineStr">
        <is>
          <t>Impuestos, Finanzas Públicas, Patrimonio estatal y municipal</t>
        </is>
      </c>
      <c r="J56" t="n">
        <v>41</v>
      </c>
      <c r="K56" t="n">
        <v>0</v>
      </c>
      <c r="L56" t="n">
        <v>0</v>
      </c>
      <c r="M56" t="n">
        <v>0</v>
      </c>
      <c r="N56">
        <f>SUM(J56:M56)</f>
        <v/>
      </c>
      <c r="O56" s="4">
        <f>SUM(J56:L56)/SUM(J56:M56)</f>
        <v/>
      </c>
      <c r="P56" s="5">
        <f>MAX(J56:L56)/SUM(J56:L56)</f>
        <v/>
      </c>
    </row>
    <row r="57">
      <c r="A57" t="inlineStr">
        <is>
          <t>Primer año</t>
        </is>
      </c>
      <c r="B57" t="inlineStr">
        <is>
          <t>Primer periodo</t>
        </is>
      </c>
      <c r="C57" t="n">
        <v>55</v>
      </c>
      <c r="D57" t="n">
        <v>55</v>
      </c>
      <c r="E57" s="3" t="n">
        <v>45638</v>
      </c>
      <c r="F57" t="inlineStr">
        <is>
          <t>Iniciativa</t>
        </is>
      </c>
      <c r="G57" t="inlineStr">
        <is>
          <t>Dictamen con minuta de decreto por el cual el dictamen con minuta de decreto por el que se reforman la fracción vii del apartado b del artículo 27 y la fracción viii bis del artículo 30; se adiciona un último párrafo al artículo 38 y se deroga el artículo 39 bis de la ley de seguridad privada del estado libre y soberano de</t>
        </is>
      </c>
      <c r="H57" t="n">
        <v>3</v>
      </c>
      <c r="I57" t="inlineStr">
        <is>
          <t>Seguridad Pública, Protección Civil y Narcotráfico</t>
        </is>
      </c>
      <c r="J57" t="n">
        <v>41</v>
      </c>
      <c r="K57" t="n">
        <v>0</v>
      </c>
      <c r="L57" t="n">
        <v>0</v>
      </c>
      <c r="M57" t="n">
        <v>0</v>
      </c>
      <c r="N57">
        <f>SUM(J57:M57)</f>
        <v/>
      </c>
      <c r="O57" s="4">
        <f>SUM(J57:L57)/SUM(J57:M57)</f>
        <v/>
      </c>
      <c r="P57" s="5">
        <f>MAX(J57:L57)/SUM(J57:L57)</f>
        <v/>
      </c>
    </row>
    <row r="58">
      <c r="A58" t="inlineStr">
        <is>
          <t>Primer año</t>
        </is>
      </c>
      <c r="B58" t="inlineStr">
        <is>
          <t>Primer periodo</t>
        </is>
      </c>
      <c r="C58" t="n">
        <v>56</v>
      </c>
      <c r="D58" t="n">
        <v>56</v>
      </c>
      <c r="E58" s="3" t="n">
        <v>45641</v>
      </c>
      <c r="F58" t="inlineStr">
        <is>
          <t>Punto de Acuerdo</t>
        </is>
      </c>
      <c r="G58" t="inlineStr">
        <is>
          <t>Acuerdo por el cual se declara como recinto oficial y sede principal del Honorable Congreso del Estado</t>
        </is>
      </c>
      <c r="H58" t="n">
        <v>19</v>
      </c>
      <c r="I58" t="inlineStr">
        <is>
          <t>Internos del Congreso</t>
        </is>
      </c>
      <c r="J58" t="n">
        <v>36</v>
      </c>
      <c r="K58" t="n">
        <v>0</v>
      </c>
      <c r="L58" t="n">
        <v>0</v>
      </c>
      <c r="M58" t="n">
        <v>5</v>
      </c>
      <c r="N58">
        <f>SUM(J58:M58)</f>
        <v/>
      </c>
      <c r="O58" s="4">
        <f>SUM(J58:L58)/SUM(J58:M58)</f>
        <v/>
      </c>
      <c r="P58" s="5">
        <f>MAX(J58:L58)/SUM(J58:L58)</f>
        <v/>
      </c>
    </row>
    <row r="59">
      <c r="A59" t="inlineStr">
        <is>
          <t>Primer año</t>
        </is>
      </c>
      <c r="B59" t="inlineStr">
        <is>
          <t>Primer periodo</t>
        </is>
      </c>
      <c r="C59" t="n">
        <v>57</v>
      </c>
      <c r="D59" t="n">
        <v>57</v>
      </c>
      <c r="E59" s="3" t="n">
        <v>45641</v>
      </c>
      <c r="F59" t="inlineStr">
        <is>
          <t>Punto de Acuerdo</t>
        </is>
      </c>
      <c r="G59" t="inlineStr">
        <is>
          <t>Acuerdo para la elección e integración de miembros de la Comisión Permanente</t>
        </is>
      </c>
      <c r="H59" t="n">
        <v>19</v>
      </c>
      <c r="I59" t="inlineStr">
        <is>
          <t>Internos del Congreso</t>
        </is>
      </c>
      <c r="J59" t="n">
        <v>36</v>
      </c>
      <c r="K59" t="n">
        <v>0</v>
      </c>
      <c r="L59" t="n">
        <v>0</v>
      </c>
      <c r="M59" t="n">
        <v>5</v>
      </c>
      <c r="N59">
        <f>SUM(J59:M59)</f>
        <v/>
      </c>
      <c r="O59" s="4">
        <f>SUM(J59:L59)/SUM(J59:M59)</f>
        <v/>
      </c>
      <c r="P59" s="5">
        <f>MAX(J59:L59)/SUM(J59:L59)</f>
        <v/>
      </c>
    </row>
    <row r="60">
      <c r="A60" t="inlineStr">
        <is>
          <t>Primer año</t>
        </is>
      </c>
      <c r="B60" t="inlineStr">
        <is>
          <t>Primer periodo</t>
        </is>
      </c>
      <c r="C60" t="n">
        <v>58</v>
      </c>
      <c r="D60" t="n">
        <v>58</v>
      </c>
      <c r="E60" s="3" t="n">
        <v>45641</v>
      </c>
      <c r="F60" t="inlineStr">
        <is>
          <t>Iniciativa</t>
        </is>
      </c>
      <c r="G60" t="inlineStr">
        <is>
          <t>Dictamen con minuta de decreto por el cual se adicionan un párrafo quinto al artículo 4º y un párrafo segundo al artículo 5º de la Constitución Política de los Estados Unidos Mexicanos</t>
        </is>
      </c>
      <c r="H60" t="n">
        <v>6</v>
      </c>
      <c r="I60" t="inlineStr">
        <is>
          <t>Salud</t>
        </is>
      </c>
      <c r="J60" t="n">
        <v>34</v>
      </c>
      <c r="K60" t="n">
        <v>3</v>
      </c>
      <c r="L60" t="n">
        <v>0</v>
      </c>
      <c r="M60" t="n">
        <v>4</v>
      </c>
      <c r="N60">
        <f>SUM(J60:M60)</f>
        <v/>
      </c>
      <c r="O60" s="4">
        <f>SUM(J60:L60)/SUM(J60:M60)</f>
        <v/>
      </c>
      <c r="P60" s="5">
        <f>MAX(J60:L60)/SUM(J60:L60)</f>
        <v/>
      </c>
    </row>
    <row r="61">
      <c r="A61" t="inlineStr">
        <is>
          <t>Primer año</t>
        </is>
      </c>
      <c r="B61" t="inlineStr">
        <is>
          <t>Primer periodo</t>
        </is>
      </c>
      <c r="C61" t="n">
        <v>59</v>
      </c>
      <c r="D61" t="n">
        <v>59</v>
      </c>
      <c r="E61" s="3" t="n">
        <v>45642</v>
      </c>
      <c r="F61" t="inlineStr">
        <is>
          <t>Punto de Acuerdo</t>
        </is>
      </c>
      <c r="G61" t="inlineStr">
        <is>
          <t>Acuerdo por el cual llevar a cabo las sesiones en el salón de plenos de este recinto legislativo</t>
        </is>
      </c>
      <c r="H61" t="n">
        <v>19</v>
      </c>
      <c r="I61" t="inlineStr">
        <is>
          <t>Internos del Congreso</t>
        </is>
      </c>
      <c r="J61" t="n">
        <v>8</v>
      </c>
      <c r="K61" t="n">
        <v>0</v>
      </c>
      <c r="L61" t="n">
        <v>0</v>
      </c>
      <c r="M61" t="n">
        <v>1</v>
      </c>
      <c r="N61">
        <f>SUM(J61:M61)</f>
        <v/>
      </c>
      <c r="O61" s="4">
        <f>SUM(J61:L61)/SUM(J61:M61)</f>
        <v/>
      </c>
      <c r="P61" s="5">
        <f>MAX(J61:L61)/SUM(J61:L61)</f>
        <v/>
      </c>
    </row>
    <row r="62">
      <c r="A62" t="inlineStr">
        <is>
          <t>Primer año</t>
        </is>
      </c>
      <c r="B62" t="inlineStr">
        <is>
          <t>Primer periodo</t>
        </is>
      </c>
      <c r="C62" t="n">
        <v>60</v>
      </c>
      <c r="D62" t="n">
        <v>60</v>
      </c>
      <c r="E62" s="3" t="n">
        <v>45642</v>
      </c>
      <c r="F62" t="inlineStr">
        <is>
          <t>Punto de Acuerdo</t>
        </is>
      </c>
      <c r="G62" t="inlineStr">
        <is>
          <t>Acuerdo por el cual tomar en consideración la solicitud de convocar a una sesión extraordinaria</t>
        </is>
      </c>
      <c r="H62" t="n">
        <v>19</v>
      </c>
      <c r="I62" t="inlineStr">
        <is>
          <t>Internos del Congreso</t>
        </is>
      </c>
      <c r="J62" t="n">
        <v>8</v>
      </c>
      <c r="K62" t="n">
        <v>0</v>
      </c>
      <c r="L62" t="n">
        <v>0</v>
      </c>
      <c r="M62" t="n">
        <v>1</v>
      </c>
      <c r="N62">
        <f>SUM(J62:M62)</f>
        <v/>
      </c>
      <c r="O62" s="4">
        <f>SUM(J62:L62)/SUM(J62:M62)</f>
        <v/>
      </c>
      <c r="P62" s="5">
        <f>MAX(J62:L62)/SUM(J62:L62)</f>
        <v/>
      </c>
    </row>
    <row r="63">
      <c r="A63" t="inlineStr">
        <is>
          <t>Primer año</t>
        </is>
      </c>
      <c r="B63" t="inlineStr">
        <is>
          <t>Primer periodo</t>
        </is>
      </c>
      <c r="C63" t="n">
        <v>61</v>
      </c>
      <c r="D63" t="n">
        <v>61</v>
      </c>
      <c r="E63" s="3" t="n">
        <v>45642</v>
      </c>
      <c r="F63" t="inlineStr">
        <is>
          <t>Punto de Acuerdo</t>
        </is>
      </c>
      <c r="G63" t="inlineStr">
        <is>
          <t>Acuerdo por el que se convoca a una sesión extraordinaria</t>
        </is>
      </c>
      <c r="H63" t="n">
        <v>19</v>
      </c>
      <c r="I63" t="inlineStr">
        <is>
          <t>Internos del Congreso</t>
        </is>
      </c>
      <c r="J63" t="n">
        <v>8</v>
      </c>
      <c r="K63" t="n">
        <v>0</v>
      </c>
      <c r="L63" t="n">
        <v>0</v>
      </c>
      <c r="M63" t="n">
        <v>1</v>
      </c>
      <c r="N63">
        <f>SUM(J63:M63)</f>
        <v/>
      </c>
      <c r="O63" s="4">
        <f>SUM(J63:L63)/SUM(J63:M63)</f>
        <v/>
      </c>
      <c r="P63" s="5">
        <f>MAX(J63:L63)/SUM(J63:L63)</f>
        <v/>
      </c>
    </row>
    <row r="64">
      <c r="A64" t="inlineStr">
        <is>
          <t>Primer año</t>
        </is>
      </c>
      <c r="B64" t="inlineStr">
        <is>
          <t>Primer periodo</t>
        </is>
      </c>
      <c r="C64" t="n">
        <v>62</v>
      </c>
      <c r="D64" t="n">
        <v>62</v>
      </c>
      <c r="E64" s="3" t="n">
        <v>45643</v>
      </c>
      <c r="F64" t="inlineStr">
        <is>
          <t>Punto de Acuerdo</t>
        </is>
      </c>
      <c r="G64" t="inlineStr">
        <is>
          <t>Acuerdo por el que se integra la lista de las personas candidatas para ocupar el cargo de Fiscal General del Estado</t>
        </is>
      </c>
      <c r="H64" t="n">
        <v>18</v>
      </c>
      <c r="I64" t="inlineStr">
        <is>
          <t>Administración Pública</t>
        </is>
      </c>
      <c r="J64" t="n">
        <v>29</v>
      </c>
      <c r="K64" t="n">
        <v>0</v>
      </c>
      <c r="L64" t="n">
        <v>5</v>
      </c>
      <c r="M64" t="n">
        <v>7</v>
      </c>
      <c r="N64">
        <f>SUM(J64:M64)</f>
        <v/>
      </c>
      <c r="O64" s="4">
        <f>SUM(J64:L64)/SUM(J64:M64)</f>
        <v/>
      </c>
      <c r="P64" s="5">
        <f>MAX(J64:L64)/SUM(J64:L64)</f>
        <v/>
      </c>
    </row>
    <row r="65">
      <c r="A65" t="inlineStr">
        <is>
          <t>Primer año</t>
        </is>
      </c>
      <c r="B65" t="inlineStr">
        <is>
          <t>Primer periodo</t>
        </is>
      </c>
      <c r="C65" t="n">
        <v>63</v>
      </c>
      <c r="D65" t="n">
        <v>63</v>
      </c>
      <c r="E65" s="3" t="n">
        <v>45644</v>
      </c>
      <c r="F65" t="inlineStr">
        <is>
          <t>Punto de Acuerdo</t>
        </is>
      </c>
      <c r="G65" t="inlineStr">
        <is>
          <t>Acuerdo por el cual convoca a una sesión extraordinaria</t>
        </is>
      </c>
      <c r="H65" t="n">
        <v>19</v>
      </c>
      <c r="I65" t="inlineStr">
        <is>
          <t>Internos del Congreso</t>
        </is>
      </c>
      <c r="J65" t="n">
        <v>7</v>
      </c>
      <c r="K65" t="n">
        <v>0</v>
      </c>
      <c r="L65" t="n">
        <v>0</v>
      </c>
      <c r="M65" t="n">
        <v>34</v>
      </c>
      <c r="N65">
        <f>SUM(J65:M65)</f>
        <v/>
      </c>
      <c r="O65" s="4">
        <f>SUM(J65:L65)/SUM(J65:M65)</f>
        <v/>
      </c>
      <c r="P65" s="5">
        <f>MAX(J65:L65)/SUM(J65:L65)</f>
        <v/>
      </c>
    </row>
    <row r="66">
      <c r="A66" t="inlineStr">
        <is>
          <t>Primer año</t>
        </is>
      </c>
      <c r="B66" t="inlineStr">
        <is>
          <t>Primer periodo</t>
        </is>
      </c>
      <c r="C66" t="n">
        <v>64</v>
      </c>
      <c r="D66" t="n">
        <v>64</v>
      </c>
      <c r="E66" s="3" t="n">
        <v>45644</v>
      </c>
      <c r="F66" t="inlineStr">
        <is>
          <t>Punto de Acuerdo</t>
        </is>
      </c>
      <c r="G66" t="inlineStr">
        <is>
          <t>Acuerdo que presenta la Comisión de Asuntos Metropolitanos por el que se exhorta a los ayuntamientos de la zona metropolitana</t>
        </is>
      </c>
      <c r="H66" t="n">
        <v>5</v>
      </c>
      <c r="I66" t="inlineStr">
        <is>
          <t>Medio Ambiente</t>
        </is>
      </c>
      <c r="J66" t="n">
        <v>8</v>
      </c>
      <c r="K66" t="n">
        <v>0</v>
      </c>
      <c r="L66" t="n">
        <v>0</v>
      </c>
      <c r="M66" t="n">
        <v>33</v>
      </c>
      <c r="N66">
        <f>SUM(J66:M66)</f>
        <v/>
      </c>
      <c r="O66" s="4">
        <f>SUM(J66:L66)/SUM(J66:M66)</f>
        <v/>
      </c>
      <c r="P66" s="5">
        <f>MAX(J66:L66)/SUM(J66:L66)</f>
        <v/>
      </c>
    </row>
    <row r="67">
      <c r="A67" t="inlineStr">
        <is>
          <t>Primer año</t>
        </is>
      </c>
      <c r="B67" t="inlineStr">
        <is>
          <t>Primer periodo</t>
        </is>
      </c>
      <c r="C67" t="n">
        <v>65</v>
      </c>
      <c r="D67" t="n">
        <v>65</v>
      </c>
      <c r="E67" s="3" t="n">
        <v>45645</v>
      </c>
      <c r="F67" t="inlineStr">
        <is>
          <t>Punto de Acuerdo</t>
        </is>
      </c>
      <c r="G67" t="inlineStr">
        <is>
          <t>Acuerdo por el que se convoca a una sesión extraordinaria</t>
        </is>
      </c>
      <c r="H67" t="n">
        <v>19</v>
      </c>
      <c r="I67" t="inlineStr">
        <is>
          <t>Internos del Congreso</t>
        </is>
      </c>
      <c r="J67" t="n">
        <v>8</v>
      </c>
      <c r="K67" t="n">
        <v>0</v>
      </c>
      <c r="L67" t="n">
        <v>0</v>
      </c>
      <c r="M67" t="n">
        <v>0</v>
      </c>
      <c r="N67">
        <f>SUM(J67:M67)</f>
        <v/>
      </c>
      <c r="O67" s="4">
        <f>SUM(J67:L67)/SUM(J67:M67)</f>
        <v/>
      </c>
      <c r="P67" s="5">
        <f>MAX(J67:L67)/SUM(J67:L67)</f>
        <v/>
      </c>
    </row>
    <row r="68">
      <c r="A68" t="inlineStr">
        <is>
          <t>Primer año</t>
        </is>
      </c>
      <c r="B68" t="inlineStr">
        <is>
          <t>Primer periodo</t>
        </is>
      </c>
      <c r="C68" t="n">
        <v>66</v>
      </c>
      <c r="D68" t="n">
        <v>66</v>
      </c>
      <c r="E68" s="3" t="n">
        <v>45646</v>
      </c>
      <c r="F68" t="inlineStr">
        <is>
          <t>Punto de Acuerdo</t>
        </is>
      </c>
      <c r="G68" t="inlineStr">
        <is>
          <t>Elección de la persona titular de la Fiscalía General del Estado</t>
        </is>
      </c>
      <c r="H68" t="n">
        <v>14</v>
      </c>
      <c r="I68" t="inlineStr">
        <is>
          <t>Justicia y Estado de Derecho</t>
        </is>
      </c>
      <c r="J68" t="n">
        <v>34</v>
      </c>
      <c r="K68" t="n">
        <v>0</v>
      </c>
      <c r="L68" t="n">
        <v>4</v>
      </c>
      <c r="M68" t="n">
        <v>0</v>
      </c>
      <c r="N68">
        <f>SUM(J68:M68)</f>
        <v/>
      </c>
      <c r="O68" s="4">
        <f>SUM(J68:L68)/SUM(J68:M68)</f>
        <v/>
      </c>
      <c r="P68" s="5">
        <f>MAX(J68:L68)/SUM(J68:L68)</f>
        <v/>
      </c>
    </row>
    <row r="69">
      <c r="A69" t="inlineStr">
        <is>
          <t>Primer año</t>
        </is>
      </c>
      <c r="B69" t="inlineStr">
        <is>
          <t>Primer periodo</t>
        </is>
      </c>
      <c r="C69" t="n">
        <v>67</v>
      </c>
      <c r="D69" t="n">
        <v>67</v>
      </c>
      <c r="E69" s="3" t="n">
        <v>45646</v>
      </c>
      <c r="F69" t="inlineStr">
        <is>
          <t>Iniciativa</t>
        </is>
      </c>
      <c r="G69" t="inlineStr">
        <is>
          <t>Dictamen con minuta de decreto que presenta la Comisión de Gobernación y Puntos Constitucionales</t>
        </is>
      </c>
      <c r="H69" t="n">
        <v>18</v>
      </c>
      <c r="I69" t="inlineStr">
        <is>
          <t>Administración Pública</t>
        </is>
      </c>
      <c r="J69" t="n">
        <v>37</v>
      </c>
      <c r="K69" t="n">
        <v>0</v>
      </c>
      <c r="L69" t="n">
        <v>0</v>
      </c>
      <c r="M69" t="n">
        <v>4</v>
      </c>
      <c r="N69">
        <f>SUM(J69:M69)</f>
        <v/>
      </c>
      <c r="O69" s="4">
        <f>SUM(J69:L69)/SUM(J69:M69)</f>
        <v/>
      </c>
      <c r="P69" s="5">
        <f>MAX(J69:L69)/SUM(J69:L69)</f>
        <v/>
      </c>
    </row>
    <row r="70">
      <c r="A70" t="inlineStr">
        <is>
          <t>Primer año</t>
        </is>
      </c>
      <c r="B70" t="inlineStr">
        <is>
          <t>Primer periodo</t>
        </is>
      </c>
      <c r="C70" t="n">
        <v>68</v>
      </c>
      <c r="D70" t="n">
        <v>68</v>
      </c>
      <c r="E70" s="3" t="n">
        <v>45646</v>
      </c>
      <c r="F70" t="inlineStr">
        <is>
          <t>Iniciativa</t>
        </is>
      </c>
      <c r="G70" t="inlineStr">
        <is>
          <t>Dictamen con minuta de decreto que presenta la Comisión de Gobernación y Puntos Constitucionales</t>
        </is>
      </c>
      <c r="H70" t="n">
        <v>3</v>
      </c>
      <c r="I70" t="inlineStr">
        <is>
          <t>Seguridad Pública, Protección Civil y Narcotráfico</t>
        </is>
      </c>
      <c r="J70" t="n">
        <v>37</v>
      </c>
      <c r="K70" t="n">
        <v>0</v>
      </c>
      <c r="L70" t="n">
        <v>0</v>
      </c>
      <c r="M70" t="n">
        <v>4</v>
      </c>
      <c r="N70">
        <f>SUM(J70:M70)</f>
        <v/>
      </c>
      <c r="O70" s="4">
        <f>SUM(J70:L70)/SUM(J70:M70)</f>
        <v/>
      </c>
      <c r="P70" s="5">
        <f>MAX(J70:L70)/SUM(J70:L70)</f>
        <v/>
      </c>
    </row>
    <row r="71">
      <c r="A71" t="inlineStr">
        <is>
          <t>Primer año</t>
        </is>
      </c>
      <c r="B71" t="inlineStr">
        <is>
          <t>Primer periodo</t>
        </is>
      </c>
      <c r="C71" t="n">
        <v>69</v>
      </c>
      <c r="D71" t="n">
        <v>69</v>
      </c>
      <c r="E71" s="3" t="n">
        <v>45666</v>
      </c>
      <c r="F71" t="inlineStr">
        <is>
          <t>Punto de Acuerdo</t>
        </is>
      </c>
      <c r="G71" t="inlineStr">
        <is>
          <t>Acuerdo por el cual la presidencia sometió a consideración de las y los integrantes de la Comisión Permanente, llevar a cabo las sesiones en el salón de pleno de este recinto oficial y sede principal del Honorable Congreso del Estado</t>
        </is>
      </c>
      <c r="H71" t="n">
        <v>19</v>
      </c>
      <c r="I71" t="inlineStr">
        <is>
          <t>Internos del Congreso</t>
        </is>
      </c>
      <c r="J71" t="n">
        <v>9</v>
      </c>
      <c r="K71" t="n">
        <v>0</v>
      </c>
      <c r="L71" t="n">
        <v>0</v>
      </c>
      <c r="M71" t="n">
        <v>0</v>
      </c>
      <c r="N71">
        <f>SUM(J71:M71)</f>
        <v/>
      </c>
      <c r="O71" s="4">
        <f>SUM(J71:L71)/SUM(J71:M71)</f>
        <v/>
      </c>
      <c r="P71" s="5">
        <f>MAX(J71:L71)/SUM(J71:L71)</f>
        <v/>
      </c>
    </row>
    <row r="72">
      <c r="A72" t="inlineStr">
        <is>
          <t>Primer año</t>
        </is>
      </c>
      <c r="B72" t="inlineStr">
        <is>
          <t>Segundo periodo</t>
        </is>
      </c>
      <c r="C72" t="n">
        <v>1</v>
      </c>
      <c r="D72" t="n">
        <v>70</v>
      </c>
      <c r="E72" s="3" t="n">
        <v>45672</v>
      </c>
      <c r="F72" t="inlineStr">
        <is>
          <t>Punto de Acuerdo</t>
        </is>
      </c>
      <c r="G72" t="inlineStr">
        <is>
          <t>Acuerdo por el cual se acepta y aprueba la renuncia de la ciudadana Fernanda Abdeyan Godos Balderas</t>
        </is>
      </c>
      <c r="H72" t="n">
        <v>19</v>
      </c>
      <c r="I72" t="inlineStr">
        <is>
          <t>Internos del Congreso</t>
        </is>
      </c>
      <c r="J72" t="n">
        <v>38</v>
      </c>
      <c r="K72" t="n">
        <v>0</v>
      </c>
      <c r="L72" t="n">
        <v>0</v>
      </c>
      <c r="M72" t="n">
        <v>3</v>
      </c>
      <c r="N72">
        <f>SUM(J72:M72)</f>
        <v/>
      </c>
      <c r="O72" s="4">
        <f>SUM(J72:L72)/SUM(J72:M72)</f>
        <v/>
      </c>
      <c r="P72" s="5">
        <f>MAX(J72:L72)/SUM(J72:L72)</f>
        <v/>
      </c>
    </row>
    <row r="73">
      <c r="A73" t="inlineStr">
        <is>
          <t>Primer año</t>
        </is>
      </c>
      <c r="B73" t="inlineStr">
        <is>
          <t>Segundo periodo</t>
        </is>
      </c>
      <c r="C73" t="n">
        <v>2</v>
      </c>
      <c r="D73" t="n">
        <v>71</v>
      </c>
      <c r="E73" s="3" t="n">
        <v>45672</v>
      </c>
      <c r="F73" t="inlineStr">
        <is>
          <t>Punto de Acuerdo</t>
        </is>
      </c>
      <c r="G73" t="inlineStr">
        <is>
          <t>Acuerdo por el cual se nombra al ciudadano Julio Leopoldo de Lara Valera</t>
        </is>
      </c>
      <c r="H73" t="n">
        <v>19</v>
      </c>
      <c r="I73" t="inlineStr">
        <is>
          <t>Internos del Congreso</t>
        </is>
      </c>
      <c r="J73" t="n">
        <v>33</v>
      </c>
      <c r="K73" t="n">
        <v>0</v>
      </c>
      <c r="L73" t="n">
        <v>5</v>
      </c>
      <c r="M73" t="n">
        <v>3</v>
      </c>
      <c r="N73">
        <f>SUM(J73:M73)</f>
        <v/>
      </c>
      <c r="O73" s="4">
        <f>SUM(J73:L73)/SUM(J73:M73)</f>
        <v/>
      </c>
      <c r="P73" s="5">
        <f>MAX(J73:L73)/SUM(J73:L73)</f>
        <v/>
      </c>
    </row>
    <row r="74">
      <c r="A74" t="inlineStr">
        <is>
          <t>Primer año</t>
        </is>
      </c>
      <c r="B74" t="inlineStr">
        <is>
          <t>Segundo periodo</t>
        </is>
      </c>
      <c r="C74" t="n">
        <v>3</v>
      </c>
      <c r="D74" t="n">
        <v>72</v>
      </c>
      <c r="E74" s="3" t="n">
        <v>45672</v>
      </c>
      <c r="F74" t="inlineStr">
        <is>
          <t>Punto de Acuerdo</t>
        </is>
      </c>
      <c r="G74" t="inlineStr">
        <is>
          <t>Acuerdo por el que se exhorta a los doscientos trece ayuntamientos y a los cuatro concejos municipales</t>
        </is>
      </c>
      <c r="H74" t="n">
        <v>4</v>
      </c>
      <c r="I74" t="inlineStr">
        <is>
          <t>Partidos Políticos y Elecciones</t>
        </is>
      </c>
      <c r="J74" t="n">
        <v>40</v>
      </c>
      <c r="K74" t="n">
        <v>0</v>
      </c>
      <c r="L74" t="n">
        <v>0</v>
      </c>
      <c r="M74" t="n">
        <v>1</v>
      </c>
      <c r="N74">
        <f>SUM(J74:M74)</f>
        <v/>
      </c>
      <c r="O74" s="4">
        <f>SUM(J74:L74)/SUM(J74:M74)</f>
        <v/>
      </c>
      <c r="P74" s="5">
        <f>MAX(J74:L74)/SUM(J74:L74)</f>
        <v/>
      </c>
    </row>
    <row r="75">
      <c r="A75" t="inlineStr">
        <is>
          <t>Primer año</t>
        </is>
      </c>
      <c r="B75" t="inlineStr">
        <is>
          <t>Segundo periodo</t>
        </is>
      </c>
      <c r="C75" t="n">
        <v>4</v>
      </c>
      <c r="D75" t="n">
        <v>73</v>
      </c>
      <c r="E75" s="3" t="n">
        <v>45672</v>
      </c>
      <c r="F75" t="inlineStr">
        <is>
          <t>Punto de Acuerdo</t>
        </is>
      </c>
      <c r="G75" t="inlineStr">
        <is>
          <t>Acuerdo por el cual se exhorta a los ayuntamientos para observar la paridad de género</t>
        </is>
      </c>
      <c r="H75" t="n">
        <v>18</v>
      </c>
      <c r="I75" t="inlineStr">
        <is>
          <t>Administración Pública</t>
        </is>
      </c>
      <c r="J75" t="n">
        <v>40</v>
      </c>
      <c r="K75" t="n">
        <v>0</v>
      </c>
      <c r="L75" t="n">
        <v>0</v>
      </c>
      <c r="M75" t="n">
        <v>1</v>
      </c>
      <c r="N75">
        <f>SUM(J75:M75)</f>
        <v/>
      </c>
      <c r="O75" s="4">
        <f>SUM(J75:L75)/SUM(J75:M75)</f>
        <v/>
      </c>
      <c r="P75" s="5">
        <f>MAX(J75:L75)/SUM(J75:L75)</f>
        <v/>
      </c>
    </row>
    <row r="76">
      <c r="A76" t="inlineStr">
        <is>
          <t>Primer año</t>
        </is>
      </c>
      <c r="B76" t="inlineStr">
        <is>
          <t>Segundo periodo</t>
        </is>
      </c>
      <c r="C76" t="n">
        <v>5</v>
      </c>
      <c r="D76" t="n">
        <v>74</v>
      </c>
      <c r="E76" s="3" t="n">
        <v>45672</v>
      </c>
      <c r="F76" t="inlineStr">
        <is>
          <t>Punto de Acuerdo</t>
        </is>
      </c>
      <c r="G76" t="inlineStr">
        <is>
          <t>Acuerdo por el cual se exhorta a los ayuntamientos a emitir su Plan Municipal de Desarrollo</t>
        </is>
      </c>
      <c r="H76" t="n">
        <v>18</v>
      </c>
      <c r="I76" t="inlineStr">
        <is>
          <t>Administración Pública</t>
        </is>
      </c>
      <c r="J76" t="n">
        <v>40</v>
      </c>
      <c r="K76" t="n">
        <v>0</v>
      </c>
      <c r="L76" t="n">
        <v>0</v>
      </c>
      <c r="M76" t="n">
        <v>1</v>
      </c>
      <c r="N76">
        <f>SUM(J76:M76)</f>
        <v/>
      </c>
      <c r="O76" s="4">
        <f>SUM(J76:L76)/SUM(J76:M76)</f>
        <v/>
      </c>
      <c r="P76" s="5">
        <f>MAX(J76:L76)/SUM(J76:L76)</f>
        <v/>
      </c>
    </row>
    <row r="77">
      <c r="A77" t="inlineStr">
        <is>
          <t>Primer año</t>
        </is>
      </c>
      <c r="B77" t="inlineStr">
        <is>
          <t>Segundo periodo</t>
        </is>
      </c>
      <c r="C77" t="n">
        <v>6</v>
      </c>
      <c r="D77" t="n">
        <v>75</v>
      </c>
      <c r="E77" s="3" t="n">
        <v>45680</v>
      </c>
      <c r="F77" t="inlineStr">
        <is>
          <t>Punto de Acuerdo</t>
        </is>
      </c>
      <c r="G77" t="inlineStr">
        <is>
          <t>Acuerdo por el cual se aprueba la licencia por tiempo indeterminado al magistrado Jonathan Ávalos Meléndez</t>
        </is>
      </c>
      <c r="H77" t="n">
        <v>18</v>
      </c>
      <c r="I77" t="inlineStr">
        <is>
          <t>Administración Pública</t>
        </is>
      </c>
      <c r="J77" t="n">
        <v>41</v>
      </c>
      <c r="K77" t="n">
        <v>0</v>
      </c>
      <c r="L77" t="n">
        <v>0</v>
      </c>
      <c r="M77" t="n">
        <v>0</v>
      </c>
      <c r="N77">
        <f>SUM(J77:M77)</f>
        <v/>
      </c>
      <c r="O77" s="4">
        <f>SUM(J77:L77)/SUM(J77:M77)</f>
        <v/>
      </c>
      <c r="P77" s="5">
        <f>MAX(J77:L77)/SUM(J77:L77)</f>
        <v/>
      </c>
    </row>
    <row r="78">
      <c r="A78" t="inlineStr">
        <is>
          <t>Primer año</t>
        </is>
      </c>
      <c r="B78" t="inlineStr">
        <is>
          <t>Segundo periodo</t>
        </is>
      </c>
      <c r="C78" t="n">
        <v>7</v>
      </c>
      <c r="D78" t="n">
        <v>76</v>
      </c>
      <c r="E78" s="3" t="n">
        <v>45687</v>
      </c>
      <c r="F78" t="inlineStr">
        <is>
          <t>Iniciativa</t>
        </is>
      </c>
      <c r="G78" t="inlineStr">
        <is>
          <t>Dictamen con minuta de decreto por el cual se declara “2025, año del bicentenario de la constitución política del estado libre y soberano de 1825”</t>
        </is>
      </c>
      <c r="H78" t="n">
        <v>8</v>
      </c>
      <c r="I78" t="inlineStr">
        <is>
          <t>Educación y Cultura</t>
        </is>
      </c>
      <c r="J78" t="n">
        <v>39</v>
      </c>
      <c r="K78" t="n">
        <v>0</v>
      </c>
      <c r="L78" t="n">
        <v>0</v>
      </c>
      <c r="M78" t="n">
        <v>0</v>
      </c>
      <c r="N78">
        <f>SUM(J78:M78)</f>
        <v/>
      </c>
      <c r="O78" s="4">
        <f>SUM(J78:L78)/SUM(J78:M78)</f>
        <v/>
      </c>
      <c r="P78" s="5">
        <f>MAX(J78:L78)/SUM(J78:L78)</f>
        <v/>
      </c>
    </row>
    <row r="79">
      <c r="A79" t="inlineStr">
        <is>
          <t>Primer año</t>
        </is>
      </c>
      <c r="B79" t="inlineStr">
        <is>
          <t>Segundo periodo</t>
        </is>
      </c>
      <c r="C79" t="n">
        <v>8</v>
      </c>
      <c r="D79" t="n">
        <v>77</v>
      </c>
      <c r="E79" s="3" t="n">
        <v>45687</v>
      </c>
      <c r="F79" t="inlineStr">
        <is>
          <t>Iniciativa</t>
        </is>
      </c>
      <c r="G79" t="inlineStr">
        <is>
          <t>Dictamen con minuta de decreto por el cual se extingue el organismo público descentralizado denominado “consejo de ciencia y tecnología del estado de”</t>
        </is>
      </c>
      <c r="H79" t="n">
        <v>18</v>
      </c>
      <c r="I79" t="inlineStr">
        <is>
          <t>Administración Pública</t>
        </is>
      </c>
      <c r="J79" t="n">
        <v>39</v>
      </c>
      <c r="K79" t="n">
        <v>0</v>
      </c>
      <c r="L79" t="n">
        <v>0</v>
      </c>
      <c r="M79" t="n">
        <v>0</v>
      </c>
      <c r="N79">
        <f>SUM(J79:M79)</f>
        <v/>
      </c>
      <c r="O79" s="4">
        <f>SUM(J79:L79)/SUM(J79:M79)</f>
        <v/>
      </c>
      <c r="P79" s="5">
        <f>MAX(J79:L79)/SUM(J79:L79)</f>
        <v/>
      </c>
    </row>
    <row r="80">
      <c r="A80" t="inlineStr">
        <is>
          <t>Primer año</t>
        </is>
      </c>
      <c r="B80" t="inlineStr">
        <is>
          <t>Segundo periodo</t>
        </is>
      </c>
      <c r="C80" t="n">
        <v>9</v>
      </c>
      <c r="D80" t="n">
        <v>78</v>
      </c>
      <c r="E80" s="3" t="n">
        <v>45687</v>
      </c>
      <c r="F80" t="inlineStr">
        <is>
          <t>Iniciativa</t>
        </is>
      </c>
      <c r="G80" t="inlineStr">
        <is>
          <t>Dictamen con minuta de decreto por el cual se extingue el organismo público descentralizado denominado “instituto poblano del deporte”</t>
        </is>
      </c>
      <c r="H80" t="n">
        <v>18</v>
      </c>
      <c r="I80" t="inlineStr">
        <is>
          <t>Administración Pública</t>
        </is>
      </c>
      <c r="J80" t="n">
        <v>39</v>
      </c>
      <c r="K80" t="n">
        <v>0</v>
      </c>
      <c r="L80" t="n">
        <v>0</v>
      </c>
      <c r="M80" t="n">
        <v>0</v>
      </c>
      <c r="N80">
        <f>SUM(J80:M80)</f>
        <v/>
      </c>
      <c r="O80" s="4">
        <f>SUM(J80:L80)/SUM(J80:M80)</f>
        <v/>
      </c>
      <c r="P80" s="5">
        <f>MAX(J80:L80)/SUM(J80:L80)</f>
        <v/>
      </c>
    </row>
    <row r="81">
      <c r="A81" t="inlineStr">
        <is>
          <t>Primer año</t>
        </is>
      </c>
      <c r="B81" t="inlineStr">
        <is>
          <t>Segundo periodo</t>
        </is>
      </c>
      <c r="C81" t="n">
        <v>10</v>
      </c>
      <c r="D81" t="n">
        <v>79</v>
      </c>
      <c r="E81" s="3" t="n">
        <v>45687</v>
      </c>
      <c r="F81" t="inlineStr">
        <is>
          <t>Iniciativa</t>
        </is>
      </c>
      <c r="G81" t="inlineStr">
        <is>
          <t>Dictamen con minuta de decreto por el cual se extingue el organismo público descentralizado denominado “instituto poblano de la juventud”</t>
        </is>
      </c>
      <c r="H81" t="n">
        <v>18</v>
      </c>
      <c r="I81" t="inlineStr">
        <is>
          <t>Administración Pública</t>
        </is>
      </c>
      <c r="J81" t="n">
        <v>39</v>
      </c>
      <c r="K81" t="n">
        <v>0</v>
      </c>
      <c r="L81" t="n">
        <v>0</v>
      </c>
      <c r="M81" t="n">
        <v>0</v>
      </c>
      <c r="N81">
        <f>SUM(J81:M81)</f>
        <v/>
      </c>
      <c r="O81" s="4">
        <f>SUM(J81:L81)/SUM(J81:M81)</f>
        <v/>
      </c>
      <c r="P81" s="5">
        <f>MAX(J81:L81)/SUM(J81:L81)</f>
        <v/>
      </c>
    </row>
    <row r="82">
      <c r="A82" t="inlineStr">
        <is>
          <t>Primer año</t>
        </is>
      </c>
      <c r="B82" t="inlineStr">
        <is>
          <t>Segundo periodo</t>
        </is>
      </c>
      <c r="C82" t="n">
        <v>11</v>
      </c>
      <c r="D82" t="n">
        <v>80</v>
      </c>
      <c r="E82" s="3" t="n">
        <v>45687</v>
      </c>
      <c r="F82" t="inlineStr">
        <is>
          <t>Iniciativa</t>
        </is>
      </c>
      <c r="G82" t="inlineStr">
        <is>
          <t>Dictamen con minuta de decreto por el cual se reforman y adicionan diversas disposiciones de la ley de coordinación hacendaria del estado de y sus municipios</t>
        </is>
      </c>
      <c r="H82" t="n">
        <v>7</v>
      </c>
      <c r="I82" t="inlineStr">
        <is>
          <t>Impuestos, Finanzas Públicas, Patrimonio estatal y municipal</t>
        </is>
      </c>
      <c r="J82" t="n">
        <v>39</v>
      </c>
      <c r="K82" t="n">
        <v>0</v>
      </c>
      <c r="L82" t="n">
        <v>0</v>
      </c>
      <c r="M82" t="n">
        <v>0</v>
      </c>
      <c r="N82">
        <f>SUM(J82:M82)</f>
        <v/>
      </c>
      <c r="O82" s="4">
        <f>SUM(J82:L82)/SUM(J82:M82)</f>
        <v/>
      </c>
      <c r="P82" s="5">
        <f>MAX(J82:L82)/SUM(J82:L82)</f>
        <v/>
      </c>
    </row>
    <row r="83">
      <c r="A83" t="inlineStr">
        <is>
          <t>Primer año</t>
        </is>
      </c>
      <c r="B83" t="inlineStr">
        <is>
          <t>Segundo periodo</t>
        </is>
      </c>
      <c r="C83" t="n">
        <v>12</v>
      </c>
      <c r="D83" t="n">
        <v>81</v>
      </c>
      <c r="E83" s="3" t="n">
        <v>45687</v>
      </c>
      <c r="F83" t="inlineStr">
        <is>
          <t>Iniciativa</t>
        </is>
      </c>
      <c r="G83" t="inlineStr">
        <is>
          <t xml:space="preserve">Dictamen con minuta de decreto por el cual se autoriza al honorable ayuntamiento del municipio de xicotepec, , a enajenar el bien inmueble de su propiedad descrito en el presente decreto, bajo la figura de donación a título gratuito a favor del organismo público descentralizado instituto de seguridad y servicios sociales de los trabajadores al servicio de los poderes del estado de (i.s.s.s.t.e.p.) para el funcionamiento exclusivo de las instalaciones de servicios de salud a prestarse en el municipio de xicotepec, </t>
        </is>
      </c>
      <c r="H83" t="n">
        <v>7</v>
      </c>
      <c r="I83" t="inlineStr">
        <is>
          <t>Impuestos, Finanzas Públicas, Patrimonio estatal y municipal</t>
        </is>
      </c>
      <c r="J83" t="n">
        <v>39</v>
      </c>
      <c r="K83" t="n">
        <v>0</v>
      </c>
      <c r="L83" t="n">
        <v>0</v>
      </c>
      <c r="M83" t="n">
        <v>0</v>
      </c>
      <c r="N83">
        <f>SUM(J83:M83)</f>
        <v/>
      </c>
      <c r="O83" s="4">
        <f>SUM(J83:L83)/SUM(J83:M83)</f>
        <v/>
      </c>
      <c r="P83" s="5">
        <f>MAX(J83:L83)/SUM(J83:L83)</f>
        <v/>
      </c>
    </row>
    <row r="84">
      <c r="A84" t="inlineStr">
        <is>
          <t>Primer año</t>
        </is>
      </c>
      <c r="B84" t="inlineStr">
        <is>
          <t>Segundo periodo</t>
        </is>
      </c>
      <c r="C84" t="n">
        <v>13</v>
      </c>
      <c r="D84" t="n">
        <v>82</v>
      </c>
      <c r="E84" s="3" t="n">
        <v>45687</v>
      </c>
      <c r="F84" t="inlineStr">
        <is>
          <t>Punto de Acuerdo</t>
        </is>
      </c>
      <c r="G84" t="inlineStr">
        <is>
          <t>Acuerdo por el que se exhorta a la persona titular de la secretaría del trabajo y previsión social del gobierno federal</t>
        </is>
      </c>
      <c r="H84" t="n">
        <v>16</v>
      </c>
      <c r="I84" t="inlineStr">
        <is>
          <t>Trabajo y Previsión Social</t>
        </is>
      </c>
      <c r="J84" t="n">
        <v>39</v>
      </c>
      <c r="K84" t="n">
        <v>0</v>
      </c>
      <c r="L84" t="n">
        <v>0</v>
      </c>
      <c r="M84" t="n">
        <v>0</v>
      </c>
      <c r="N84">
        <f>SUM(J84:M84)</f>
        <v/>
      </c>
      <c r="O84" s="4">
        <f>SUM(J84:L84)/SUM(J84:M84)</f>
        <v/>
      </c>
      <c r="P84" s="5">
        <f>MAX(J84:L84)/SUM(J84:L84)</f>
        <v/>
      </c>
    </row>
    <row r="85">
      <c r="A85" t="inlineStr">
        <is>
          <t>Primer año</t>
        </is>
      </c>
      <c r="B85" t="inlineStr">
        <is>
          <t>Segundo periodo</t>
        </is>
      </c>
      <c r="C85" t="n">
        <v>14</v>
      </c>
      <c r="D85" t="n">
        <v>83</v>
      </c>
      <c r="E85" s="3" t="n">
        <v>45687</v>
      </c>
      <c r="F85" t="inlineStr">
        <is>
          <t>Punto de Acuerdo</t>
        </is>
      </c>
      <c r="G85" t="inlineStr">
        <is>
          <t>Acuerdo por el que se exhorta a la secretaría de educación del estado</t>
        </is>
      </c>
      <c r="H85" t="n">
        <v>8</v>
      </c>
      <c r="I85" t="inlineStr">
        <is>
          <t>Educación y Cultura</t>
        </is>
      </c>
      <c r="J85" t="n">
        <v>39</v>
      </c>
      <c r="K85" t="n">
        <v>0</v>
      </c>
      <c r="L85" t="n">
        <v>0</v>
      </c>
      <c r="M85" t="n">
        <v>0</v>
      </c>
      <c r="N85">
        <f>SUM(J85:M85)</f>
        <v/>
      </c>
      <c r="O85" s="4">
        <f>SUM(J85:L85)/SUM(J85:M85)</f>
        <v/>
      </c>
      <c r="P85" s="5">
        <f>MAX(J85:L85)/SUM(J85:L85)</f>
        <v/>
      </c>
    </row>
    <row r="86">
      <c r="A86" t="inlineStr">
        <is>
          <t>Primer año</t>
        </is>
      </c>
      <c r="B86" t="inlineStr">
        <is>
          <t>Segundo periodo</t>
        </is>
      </c>
      <c r="C86" t="n">
        <v>15</v>
      </c>
      <c r="D86" t="n">
        <v>84</v>
      </c>
      <c r="E86" s="3" t="n">
        <v>45694</v>
      </c>
      <c r="F86" t="inlineStr">
        <is>
          <t>Punto de Acuerdo</t>
        </is>
      </c>
      <c r="G86" t="inlineStr">
        <is>
          <t>Acuerdo por el cual el exhorto a la delegación de la Procuraduría Federal del Consumidor</t>
        </is>
      </c>
      <c r="H86" t="n">
        <v>1</v>
      </c>
      <c r="I86" t="inlineStr">
        <is>
          <t>Economía, Comercio y Competitividad</t>
        </is>
      </c>
      <c r="J86" t="n">
        <v>37</v>
      </c>
      <c r="K86" t="n">
        <v>0</v>
      </c>
      <c r="L86" t="n">
        <v>0</v>
      </c>
      <c r="M86" t="n">
        <v>0</v>
      </c>
      <c r="N86">
        <f>SUM(J86:M86)</f>
        <v/>
      </c>
      <c r="O86" s="4">
        <f>SUM(J86:L86)/SUM(J86:M86)</f>
        <v/>
      </c>
      <c r="P86" s="5">
        <f>MAX(J86:L86)/SUM(J86:L86)</f>
        <v/>
      </c>
    </row>
    <row r="87">
      <c r="A87" t="inlineStr">
        <is>
          <t>Primer año</t>
        </is>
      </c>
      <c r="B87" t="inlineStr">
        <is>
          <t>Segundo periodo</t>
        </is>
      </c>
      <c r="C87" t="n">
        <v>16</v>
      </c>
      <c r="D87" t="n">
        <v>85</v>
      </c>
      <c r="E87" s="3" t="n">
        <v>45694</v>
      </c>
      <c r="F87" t="inlineStr">
        <is>
          <t>Punto de Acuerdo</t>
        </is>
      </c>
      <c r="G87" t="inlineStr">
        <is>
          <t>Acuerdo por el cual el exhorto a las personas titulares de los doscientos trece ayuntamientos y a los cuatro concejos municipales</t>
        </is>
      </c>
      <c r="H87" t="n">
        <v>10</v>
      </c>
      <c r="I87" t="inlineStr">
        <is>
          <t>Transparencia y Rendición de Cuentas</t>
        </is>
      </c>
      <c r="J87" t="n">
        <v>37</v>
      </c>
      <c r="K87" t="n">
        <v>0</v>
      </c>
      <c r="L87" t="n">
        <v>0</v>
      </c>
      <c r="M87" t="n">
        <v>0</v>
      </c>
      <c r="N87">
        <f>SUM(J87:M87)</f>
        <v/>
      </c>
      <c r="O87" s="4">
        <f>SUM(J87:L87)/SUM(J87:M87)</f>
        <v/>
      </c>
      <c r="P87" s="5">
        <f>MAX(J87:L87)/SUM(J87:L87)</f>
        <v/>
      </c>
    </row>
    <row r="88">
      <c r="A88" t="inlineStr">
        <is>
          <t>Primer año</t>
        </is>
      </c>
      <c r="B88" t="inlineStr">
        <is>
          <t>Segundo periodo</t>
        </is>
      </c>
      <c r="C88" t="n">
        <v>17</v>
      </c>
      <c r="D88" t="n">
        <v>86</v>
      </c>
      <c r="E88" s="3" t="n">
        <v>45701</v>
      </c>
      <c r="F88" t="inlineStr">
        <is>
          <t>Punto de Acuerdo</t>
        </is>
      </c>
      <c r="G88" t="inlineStr">
        <is>
          <t>Acuerdo por el cual la Junta de Gobierno y Coordinación Política de la Sexagésima Segunda Legislatura propone la persona para ocupar el cargo de titular del órgano interno de control de la Comisión de Derechos Humanos del Estado de Puebla</t>
        </is>
      </c>
      <c r="H88" t="n">
        <v>19</v>
      </c>
      <c r="I88" t="inlineStr">
        <is>
          <t>Internos del Congreso</t>
        </is>
      </c>
      <c r="J88" t="n">
        <v>35</v>
      </c>
      <c r="K88" t="n">
        <v>5</v>
      </c>
      <c r="L88" t="n">
        <v>1</v>
      </c>
      <c r="M88" t="n">
        <v>0</v>
      </c>
      <c r="N88">
        <f>SUM(J88:M88)</f>
        <v/>
      </c>
      <c r="O88" s="4">
        <f>SUM(J88:L88)/SUM(J88:M88)</f>
        <v/>
      </c>
      <c r="P88" s="5">
        <f>MAX(J88:L88)/SUM(J88:L88)</f>
        <v/>
      </c>
    </row>
    <row r="89">
      <c r="A89" t="inlineStr">
        <is>
          <t>Primer año</t>
        </is>
      </c>
      <c r="B89" t="inlineStr">
        <is>
          <t>Segundo periodo</t>
        </is>
      </c>
      <c r="C89" t="n">
        <v>18</v>
      </c>
      <c r="D89" t="n">
        <v>87</v>
      </c>
      <c r="E89" s="3" t="n">
        <v>45701</v>
      </c>
      <c r="F89" t="inlineStr">
        <is>
          <t>Punto de Acuerdo</t>
        </is>
      </c>
      <c r="G89" t="inlineStr">
        <is>
          <t>Acuerdo por el cual la Junta de Gobierno y Coordinación Política de la Sexagésima Segunda Legislatura propone la persona para ocupar el cargo de titular del órgano interno de control de la Fiscalía General del Estado</t>
        </is>
      </c>
      <c r="H89" t="n">
        <v>19</v>
      </c>
      <c r="I89" t="inlineStr">
        <is>
          <t>Internos del Congreso</t>
        </is>
      </c>
      <c r="J89" t="n">
        <v>35</v>
      </c>
      <c r="K89" t="n">
        <v>5</v>
      </c>
      <c r="L89" t="n">
        <v>1</v>
      </c>
      <c r="M89" t="n">
        <v>0</v>
      </c>
      <c r="N89">
        <f>SUM(J89:M89)</f>
        <v/>
      </c>
      <c r="O89" s="4">
        <f>SUM(J89:L89)/SUM(J89:M89)</f>
        <v/>
      </c>
      <c r="P89" s="5">
        <f>MAX(J89:L89)/SUM(J89:L89)</f>
        <v/>
      </c>
    </row>
    <row r="90">
      <c r="A90" t="inlineStr">
        <is>
          <t>Primer año</t>
        </is>
      </c>
      <c r="B90" t="inlineStr">
        <is>
          <t>Segundo periodo</t>
        </is>
      </c>
      <c r="C90" t="n">
        <v>19</v>
      </c>
      <c r="D90" t="n">
        <v>88</v>
      </c>
      <c r="E90" s="3" t="n">
        <v>45701</v>
      </c>
      <c r="F90" t="inlineStr">
        <is>
          <t>Punto de Acuerdo</t>
        </is>
      </c>
      <c r="G90" t="inlineStr">
        <is>
          <t>Acuerdo por el cual la Junta de Gobierno y Coordinación Política de la Sexagésima Segunda Legislatura propone la persona para ocupar el cargo de titular del órgano interno de control del Instituto de Transparencia, Acceso a la Información Pública y Protección de Datos Personales del Estado</t>
        </is>
      </c>
      <c r="H90" t="n">
        <v>19</v>
      </c>
      <c r="I90" t="inlineStr">
        <is>
          <t>Internos del Congreso</t>
        </is>
      </c>
      <c r="J90" t="n">
        <v>35</v>
      </c>
      <c r="K90" t="n">
        <v>5</v>
      </c>
      <c r="L90" t="n">
        <v>1</v>
      </c>
      <c r="M90" t="n">
        <v>0</v>
      </c>
      <c r="N90">
        <f>SUM(J90:M90)</f>
        <v/>
      </c>
      <c r="O90" s="4">
        <f>SUM(J90:L90)/SUM(J90:M90)</f>
        <v/>
      </c>
      <c r="P90" s="5">
        <f>MAX(J90:L90)/SUM(J90:L90)</f>
        <v/>
      </c>
    </row>
    <row r="91">
      <c r="A91" t="inlineStr">
        <is>
          <t>Primer año</t>
        </is>
      </c>
      <c r="B91" t="inlineStr">
        <is>
          <t>Segundo periodo</t>
        </is>
      </c>
      <c r="C91" t="n">
        <v>20</v>
      </c>
      <c r="D91" t="n">
        <v>89</v>
      </c>
      <c r="E91" s="3" t="n">
        <v>45701</v>
      </c>
      <c r="F91" t="inlineStr">
        <is>
          <t>Punto de Acuerdo</t>
        </is>
      </c>
      <c r="G91" t="inlineStr">
        <is>
          <t>Acuerdo por el cual la Junta de Gobierno y Coordinación Política de la Sexagésima Segunda Legislatura somete a consideración del pleno para su aprobación la lista de las cinco personas que integraran el consejo consultivo de la Comisión de Derechos Humanos del Estado</t>
        </is>
      </c>
      <c r="H91" t="n">
        <v>19</v>
      </c>
      <c r="I91" t="inlineStr">
        <is>
          <t>Internos del Congreso</t>
        </is>
      </c>
      <c r="J91" t="n">
        <v>34</v>
      </c>
      <c r="K91" t="n">
        <v>5</v>
      </c>
      <c r="L91" t="n">
        <v>0</v>
      </c>
      <c r="M91" t="n">
        <v>2</v>
      </c>
      <c r="N91">
        <f>SUM(J91:M91)</f>
        <v/>
      </c>
      <c r="O91" s="4">
        <f>SUM(J91:L91)/SUM(J91:M91)</f>
        <v/>
      </c>
      <c r="P91" s="5">
        <f>MAX(J91:L91)/SUM(J91:L91)</f>
        <v/>
      </c>
    </row>
    <row r="92">
      <c r="A92" t="inlineStr">
        <is>
          <t>Primer año</t>
        </is>
      </c>
      <c r="B92" t="inlineStr">
        <is>
          <t>Segundo periodo</t>
        </is>
      </c>
      <c r="C92" t="n">
        <v>21</v>
      </c>
      <c r="D92" t="n">
        <v>90</v>
      </c>
      <c r="E92" s="3" t="n">
        <v>45701</v>
      </c>
      <c r="F92" t="inlineStr">
        <is>
          <t>Punto de Acuerdo</t>
        </is>
      </c>
      <c r="G92" t="inlineStr">
        <is>
          <t>Acuerdo por el que se exhorta a la Secretaría de Bienestar del Estado y al Sistema para el Desarrollo Integral de la Familia del Estado de Puebla para que, en coordinación con los doscientos trece ayuntamientos y los cuatro concejos municipales, promuevan la instalación de unidades móviles alimentarias</t>
        </is>
      </c>
      <c r="H92" t="n">
        <v>2</v>
      </c>
      <c r="I92" t="inlineStr">
        <is>
          <t>Pobreza y Política Social</t>
        </is>
      </c>
      <c r="J92" t="n">
        <v>41</v>
      </c>
      <c r="K92" t="n">
        <v>0</v>
      </c>
      <c r="L92" t="n">
        <v>0</v>
      </c>
      <c r="M92" t="n">
        <v>0</v>
      </c>
      <c r="N92">
        <f>SUM(J92:M92)</f>
        <v/>
      </c>
      <c r="O92" s="4">
        <f>SUM(J92:L92)/SUM(J92:M92)</f>
        <v/>
      </c>
      <c r="P92" s="5">
        <f>MAX(J92:L92)/SUM(J92:L92)</f>
        <v/>
      </c>
    </row>
    <row r="93">
      <c r="A93" t="inlineStr">
        <is>
          <t>Primer año</t>
        </is>
      </c>
      <c r="B93" t="inlineStr">
        <is>
          <t>Segundo periodo</t>
        </is>
      </c>
      <c r="C93" t="n">
        <v>22</v>
      </c>
      <c r="D93" t="n">
        <v>91</v>
      </c>
      <c r="E93" s="3" t="n">
        <v>45708</v>
      </c>
      <c r="F93" t="inlineStr">
        <is>
          <t>Punto de Acuerdo</t>
        </is>
      </c>
      <c r="G93" t="inlineStr">
        <is>
          <t>Acuerdo para la elección e integración de la secretaría y de las vocalías de las comisiones generales citadas</t>
        </is>
      </c>
      <c r="H93" t="n">
        <v>19</v>
      </c>
      <c r="I93" t="inlineStr">
        <is>
          <t>Internos del Congreso</t>
        </is>
      </c>
      <c r="J93" t="n">
        <v>40</v>
      </c>
      <c r="K93" t="n">
        <v>0</v>
      </c>
      <c r="L93" t="n">
        <v>0</v>
      </c>
      <c r="M93" t="n">
        <v>1</v>
      </c>
      <c r="N93">
        <f>SUM(J93:M93)</f>
        <v/>
      </c>
      <c r="O93" s="4">
        <f>SUM(J93:L93)/SUM(J93:M93)</f>
        <v/>
      </c>
      <c r="P93" s="5">
        <f>MAX(J93:L93)/SUM(J93:L93)</f>
        <v/>
      </c>
    </row>
    <row r="94">
      <c r="A94" t="inlineStr">
        <is>
          <t>Primer año</t>
        </is>
      </c>
      <c r="B94" t="inlineStr">
        <is>
          <t>Segundo periodo</t>
        </is>
      </c>
      <c r="C94" t="n">
        <v>23</v>
      </c>
      <c r="D94" t="n">
        <v>92</v>
      </c>
      <c r="E94" s="3" t="n">
        <v>45708</v>
      </c>
      <c r="F94" t="inlineStr">
        <is>
          <t>Punto de Acuerdo</t>
        </is>
      </c>
      <c r="G94" t="inlineStr">
        <is>
          <t>Acuerdo para la elección e integración de la presidencia del comité de diario de debates, crónica legislativa y asuntos editoriales y de la vocalía del comité de atención ciudadana</t>
        </is>
      </c>
      <c r="H94" t="n">
        <v>19</v>
      </c>
      <c r="I94" t="inlineStr">
        <is>
          <t>Internos del Congreso</t>
        </is>
      </c>
      <c r="J94" t="n">
        <v>38</v>
      </c>
      <c r="K94" t="n">
        <v>0</v>
      </c>
      <c r="L94" t="n">
        <v>1</v>
      </c>
      <c r="M94" t="n">
        <v>2</v>
      </c>
      <c r="N94">
        <f>SUM(J94:M94)</f>
        <v/>
      </c>
      <c r="O94" s="4">
        <f>SUM(J94:L94)/SUM(J94:M94)</f>
        <v/>
      </c>
      <c r="P94" s="5">
        <f>MAX(J94:L94)/SUM(J94:L94)</f>
        <v/>
      </c>
    </row>
    <row r="95">
      <c r="A95" t="inlineStr">
        <is>
          <t>Primer año</t>
        </is>
      </c>
      <c r="B95" t="inlineStr">
        <is>
          <t>Segundo periodo</t>
        </is>
      </c>
      <c r="C95" t="n">
        <v>24</v>
      </c>
      <c r="D95" t="n">
        <v>93</v>
      </c>
      <c r="E95" s="3" t="n">
        <v>45708</v>
      </c>
      <c r="F95" t="inlineStr">
        <is>
          <t>Punto de Acuerdo</t>
        </is>
      </c>
      <c r="G95" t="inlineStr">
        <is>
          <t>Acuerdo por el cual la ratificación del nombramiento del ciudadano Alejandro Espidio Reyes, como titular de la Secretaría Anticorrupción y Buen Gobierno</t>
        </is>
      </c>
      <c r="H95" t="n">
        <v>18</v>
      </c>
      <c r="I95" t="inlineStr">
        <is>
          <t>Administración Pública</t>
        </is>
      </c>
      <c r="J95" t="n">
        <v>41</v>
      </c>
      <c r="K95" t="n">
        <v>0</v>
      </c>
      <c r="L95" t="n">
        <v>0</v>
      </c>
      <c r="M95" t="n">
        <v>0</v>
      </c>
      <c r="N95">
        <f>SUM(J95:M95)</f>
        <v/>
      </c>
      <c r="O95" s="4">
        <f>SUM(J95:L95)/SUM(J95:M95)</f>
        <v/>
      </c>
      <c r="P95" s="5">
        <f>MAX(J95:L95)/SUM(J95:L95)</f>
        <v/>
      </c>
    </row>
    <row r="96">
      <c r="A96" t="inlineStr">
        <is>
          <t>Primer año</t>
        </is>
      </c>
      <c r="B96" t="inlineStr">
        <is>
          <t>Segundo periodo</t>
        </is>
      </c>
      <c r="C96" t="n">
        <v>25</v>
      </c>
      <c r="D96" t="n">
        <v>94</v>
      </c>
      <c r="E96" s="3" t="n">
        <v>45708</v>
      </c>
      <c r="F96" t="inlineStr">
        <is>
          <t>Iniciativa</t>
        </is>
      </c>
      <c r="G96" t="inlineStr">
        <is>
          <t>Dictamen con minuta de decreto que presenta la Comisión de Gobernación y Puntos Constitucionales por el cual se reforman y derogan diversas disposiciones de la Ley Orgánica de la Administración Pública, Ley de Movilidad y Seguridad Vial y Ley de Transporte</t>
        </is>
      </c>
      <c r="H96" t="n">
        <v>18</v>
      </c>
      <c r="I96" t="inlineStr">
        <is>
          <t>Administración Pública</t>
        </is>
      </c>
      <c r="J96" t="n">
        <v>41</v>
      </c>
      <c r="K96" t="n">
        <v>0</v>
      </c>
      <c r="L96" t="n">
        <v>0</v>
      </c>
      <c r="M96" t="n">
        <v>0</v>
      </c>
      <c r="N96">
        <f>SUM(J96:M96)</f>
        <v/>
      </c>
      <c r="O96" s="4">
        <f>SUM(J96:L96)/SUM(J96:M96)</f>
        <v/>
      </c>
      <c r="P96" s="5">
        <f>MAX(J96:L96)/SUM(J96:L96)</f>
        <v/>
      </c>
    </row>
    <row r="97">
      <c r="A97" t="inlineStr">
        <is>
          <t>Primer año</t>
        </is>
      </c>
      <c r="B97" t="inlineStr">
        <is>
          <t>Segundo periodo</t>
        </is>
      </c>
      <c r="C97" t="n">
        <v>26</v>
      </c>
      <c r="D97" t="n">
        <v>95</v>
      </c>
      <c r="E97" s="3" t="n">
        <v>45708</v>
      </c>
      <c r="F97" t="inlineStr">
        <is>
          <t>Iniciativa</t>
        </is>
      </c>
      <c r="G97" t="inlineStr">
        <is>
          <t>Dictamen con minuta de decreto por el cual se declara el 7 de marzo de cada año como el Día de las Trabajadoras y Trabajadores de la Industria Textil Poblana</t>
        </is>
      </c>
      <c r="H97" t="n">
        <v>16</v>
      </c>
      <c r="I97" t="inlineStr">
        <is>
          <t>Trabajo y Previsión Social</t>
        </is>
      </c>
      <c r="J97" t="n">
        <v>41</v>
      </c>
      <c r="K97" t="n">
        <v>0</v>
      </c>
      <c r="L97" t="n">
        <v>0</v>
      </c>
      <c r="M97" t="n">
        <v>0</v>
      </c>
      <c r="N97">
        <f>SUM(J97:M97)</f>
        <v/>
      </c>
      <c r="O97" s="4">
        <f>SUM(J97:L97)/SUM(J97:M97)</f>
        <v/>
      </c>
      <c r="P97" s="5">
        <f>MAX(J97:L97)/SUM(J97:L97)</f>
        <v/>
      </c>
    </row>
    <row r="98">
      <c r="A98" t="inlineStr">
        <is>
          <t>Primer año</t>
        </is>
      </c>
      <c r="B98" t="inlineStr">
        <is>
          <t>Segundo periodo</t>
        </is>
      </c>
      <c r="C98" t="n">
        <v>27</v>
      </c>
      <c r="D98" t="n">
        <v>96</v>
      </c>
      <c r="E98" s="3" t="n">
        <v>45708</v>
      </c>
      <c r="F98" t="inlineStr">
        <is>
          <t>Punto de Acuerdo</t>
        </is>
      </c>
      <c r="G98" t="inlineStr">
        <is>
          <t>Acuerdo por el que se exhorta al Consejo General del Instituto Nacional Electoral</t>
        </is>
      </c>
      <c r="H98" t="n">
        <v>4</v>
      </c>
      <c r="I98" t="inlineStr">
        <is>
          <t>Partidos Políticos y Elecciones</t>
        </is>
      </c>
      <c r="J98" t="n">
        <v>35</v>
      </c>
      <c r="K98" t="n">
        <v>0</v>
      </c>
      <c r="L98" t="n">
        <v>6</v>
      </c>
      <c r="M98" t="n">
        <v>0</v>
      </c>
      <c r="N98">
        <f>SUM(J98:M98)</f>
        <v/>
      </c>
      <c r="O98" s="4">
        <f>SUM(J98:L98)/SUM(J98:M98)</f>
        <v/>
      </c>
      <c r="P98" s="5">
        <f>MAX(J98:L98)/SUM(J98:L98)</f>
        <v/>
      </c>
    </row>
    <row r="99">
      <c r="A99" t="inlineStr">
        <is>
          <t>Primer año</t>
        </is>
      </c>
      <c r="B99" t="inlineStr">
        <is>
          <t>Segundo periodo</t>
        </is>
      </c>
      <c r="C99" t="n">
        <v>28</v>
      </c>
      <c r="D99" t="n">
        <v>97</v>
      </c>
      <c r="E99" s="3" t="n">
        <v>45715</v>
      </c>
      <c r="F99" t="inlineStr">
        <is>
          <t>Iniciativa</t>
        </is>
      </c>
      <c r="G99" t="inlineStr">
        <is>
          <t>Dictamen con minuta de decreto por el cual se reforman las fracciones XLIII y XLIV del artículo 34, se adiciona la fracción XLV al artículo 34 y se deroga la fracción LXXVII del artículo 33 de la Ley Orgánica de la Administración Pública del Estado de Puebla</t>
        </is>
      </c>
      <c r="H99" t="n">
        <v>18</v>
      </c>
      <c r="I99" t="inlineStr">
        <is>
          <t>Administración Pública</t>
        </is>
      </c>
      <c r="J99" t="n">
        <v>31</v>
      </c>
      <c r="K99" t="n">
        <v>2</v>
      </c>
      <c r="L99" t="n">
        <v>5</v>
      </c>
      <c r="M99" t="n">
        <v>3</v>
      </c>
      <c r="N99">
        <f>SUM(J99:M99)</f>
        <v/>
      </c>
      <c r="O99" s="4">
        <f>SUM(J99:L99)/SUM(J99:M99)</f>
        <v/>
      </c>
      <c r="P99" s="5">
        <f>MAX(J99:L99)/SUM(J99:L99)</f>
        <v/>
      </c>
    </row>
    <row r="100">
      <c r="A100" t="inlineStr">
        <is>
          <t>Primer año</t>
        </is>
      </c>
      <c r="B100" t="inlineStr">
        <is>
          <t>Segundo periodo</t>
        </is>
      </c>
      <c r="C100" t="n">
        <v>29</v>
      </c>
      <c r="D100" t="n">
        <v>98</v>
      </c>
      <c r="E100" s="3" t="n">
        <v>45715</v>
      </c>
      <c r="F100" t="inlineStr">
        <is>
          <t>Iniciativa</t>
        </is>
      </c>
      <c r="G100" t="inlineStr">
        <is>
          <t>Dictamen con minuta de decreto por el cual se crea el organismo público descentralizado denominado “Universidad del Deporte del Estado de Puebla”</t>
        </is>
      </c>
      <c r="H100" t="n">
        <v>8</v>
      </c>
      <c r="I100" t="inlineStr">
        <is>
          <t>Educación y Cultura</t>
        </is>
      </c>
      <c r="J100" t="n">
        <v>41</v>
      </c>
      <c r="K100" t="n">
        <v>0</v>
      </c>
      <c r="L100" t="n">
        <v>0</v>
      </c>
      <c r="M100" t="n">
        <v>0</v>
      </c>
      <c r="N100">
        <f>SUM(J100:M100)</f>
        <v/>
      </c>
      <c r="O100" s="4">
        <f>SUM(J100:L100)/SUM(J100:M100)</f>
        <v/>
      </c>
      <c r="P100" s="5">
        <f>MAX(J100:L100)/SUM(J100:L100)</f>
        <v/>
      </c>
    </row>
    <row r="101">
      <c r="A101" t="inlineStr">
        <is>
          <t>Primer año</t>
        </is>
      </c>
      <c r="B101" t="inlineStr">
        <is>
          <t>Segundo periodo</t>
        </is>
      </c>
      <c r="C101" t="n">
        <v>30</v>
      </c>
      <c r="D101" t="n">
        <v>99</v>
      </c>
      <c r="E101" s="3" t="n">
        <v>45715</v>
      </c>
      <c r="F101" t="inlineStr">
        <is>
          <t>Punto de Acuerdo</t>
        </is>
      </c>
      <c r="G101" t="inlineStr">
        <is>
          <t>Acuerdo por el que se exhorta a los doscientos trece ayuntamientos y a los cuatro concejos municipales del Estado para que integren en el Comité Municipal de Adjudicaciones a una persona representante del sector social, una persona de las organizaciones vecinales y otra del sector privado</t>
        </is>
      </c>
      <c r="H101" t="n">
        <v>10</v>
      </c>
      <c r="I101" t="inlineStr">
        <is>
          <t>Transparencia y Rendición de Cuentas</t>
        </is>
      </c>
      <c r="J101" t="n">
        <v>39</v>
      </c>
      <c r="K101" t="n">
        <v>0</v>
      </c>
      <c r="L101" t="n">
        <v>0</v>
      </c>
      <c r="M101" t="n">
        <v>2</v>
      </c>
      <c r="N101">
        <f>SUM(J101:M101)</f>
        <v/>
      </c>
      <c r="O101" s="4">
        <f>SUM(J101:L101)/SUM(J101:M101)</f>
        <v/>
      </c>
      <c r="P101" s="5">
        <f>MAX(J101:L101)/SUM(J101:L101)</f>
        <v/>
      </c>
    </row>
    <row r="102">
      <c r="A102" t="inlineStr">
        <is>
          <t>Primer año</t>
        </is>
      </c>
      <c r="B102" t="inlineStr">
        <is>
          <t>Segundo periodo</t>
        </is>
      </c>
      <c r="C102" t="n">
        <v>31</v>
      </c>
      <c r="D102" t="n">
        <v>100</v>
      </c>
      <c r="E102" s="3" t="n">
        <v>45715</v>
      </c>
      <c r="F102" t="inlineStr">
        <is>
          <t>Punto de Acuerdo</t>
        </is>
      </c>
      <c r="G102" t="inlineStr">
        <is>
          <t>Acuerdo por el que se exhorta a los doscientos trece ayuntamientos y a los cuatro concejos municipales del Estado para que a la brevedad instalen sus Sistemas de Protección Integral de los Derechos de Niñas, Niños y Adolescentes</t>
        </is>
      </c>
      <c r="H102" t="n">
        <v>2</v>
      </c>
      <c r="I102" t="inlineStr">
        <is>
          <t>Pobreza y Política Social</t>
        </is>
      </c>
      <c r="J102" t="n">
        <v>40</v>
      </c>
      <c r="K102" t="n">
        <v>0</v>
      </c>
      <c r="L102" t="n">
        <v>0</v>
      </c>
      <c r="M102" t="n">
        <v>1</v>
      </c>
      <c r="N102">
        <f>SUM(J102:M102)</f>
        <v/>
      </c>
      <c r="O102" s="4">
        <f>SUM(J102:L102)/SUM(J102:M102)</f>
        <v/>
      </c>
      <c r="P102" s="5">
        <f>MAX(J102:L102)/SUM(J102:L102)</f>
        <v/>
      </c>
    </row>
    <row r="103">
      <c r="A103" t="inlineStr">
        <is>
          <t>Primer año</t>
        </is>
      </c>
      <c r="B103" t="inlineStr">
        <is>
          <t>Segundo periodo</t>
        </is>
      </c>
      <c r="C103" t="n">
        <v>32</v>
      </c>
      <c r="D103" t="n">
        <v>101</v>
      </c>
      <c r="E103" s="3" t="n">
        <v>45715</v>
      </c>
      <c r="F103" t="inlineStr">
        <is>
          <t>Punto de Acuerdo</t>
        </is>
      </c>
      <c r="G103" t="inlineStr">
        <is>
          <t>Acuerdo por el cual se exhorta a los doscientos trece ayuntamientos y a los cuatro concejos municipales del Estado para que revisen y adecuen sus portales electrónicos oficiales</t>
        </is>
      </c>
      <c r="H103" t="n">
        <v>10</v>
      </c>
      <c r="I103" t="inlineStr">
        <is>
          <t>Transparencia y Rendición de Cuentas</t>
        </is>
      </c>
      <c r="J103" t="n">
        <v>40</v>
      </c>
      <c r="K103" t="n">
        <v>0</v>
      </c>
      <c r="L103" t="n">
        <v>0</v>
      </c>
      <c r="M103" t="n">
        <v>1</v>
      </c>
      <c r="N103">
        <f>SUM(J103:M103)</f>
        <v/>
      </c>
      <c r="O103" s="4">
        <f>SUM(J103:L103)/SUM(J103:M103)</f>
        <v/>
      </c>
      <c r="P103" s="5">
        <f>MAX(J103:L103)/SUM(J103:L103)</f>
        <v/>
      </c>
    </row>
    <row r="104">
      <c r="A104" t="inlineStr">
        <is>
          <t>Primer año</t>
        </is>
      </c>
      <c r="B104" t="inlineStr">
        <is>
          <t>Segundo periodo</t>
        </is>
      </c>
      <c r="C104" t="n">
        <v>33</v>
      </c>
      <c r="D104" t="n">
        <v>102</v>
      </c>
      <c r="E104" s="3" t="n">
        <v>45715</v>
      </c>
      <c r="F104" t="inlineStr">
        <is>
          <t>Punto de Acuerdo</t>
        </is>
      </c>
      <c r="G104" t="inlineStr">
        <is>
          <t>Acuerdo por el cual se exhorta a los doscientos trece ayuntamientos y a los cuatro concejos municipales del Estado a que respeten y den cumplimiento a los contratos, convenios y acuerdos suscritos por administraciones salientes</t>
        </is>
      </c>
      <c r="H104" t="n">
        <v>18</v>
      </c>
      <c r="I104" t="inlineStr">
        <is>
          <t>Administración Pública</t>
        </is>
      </c>
      <c r="J104" t="n">
        <v>40</v>
      </c>
      <c r="K104" t="n">
        <v>0</v>
      </c>
      <c r="L104" t="n">
        <v>0</v>
      </c>
      <c r="M104" t="n">
        <v>1</v>
      </c>
      <c r="N104">
        <f>SUM(J104:M104)</f>
        <v/>
      </c>
      <c r="O104" s="4">
        <f>SUM(J104:L104)/SUM(J104:M104)</f>
        <v/>
      </c>
      <c r="P104" s="5">
        <f>MAX(J104:L104)/SUM(J104:L104)</f>
        <v/>
      </c>
    </row>
    <row r="105">
      <c r="A105" t="inlineStr">
        <is>
          <t>Primer año</t>
        </is>
      </c>
      <c r="B105" t="inlineStr">
        <is>
          <t>Segundo periodo</t>
        </is>
      </c>
      <c r="C105" t="n">
        <v>34</v>
      </c>
      <c r="D105" t="n">
        <v>103</v>
      </c>
      <c r="E105" s="3" t="n">
        <v>45715</v>
      </c>
      <c r="F105" t="inlineStr">
        <is>
          <t>Punto de Acuerdo</t>
        </is>
      </c>
      <c r="G105" t="inlineStr">
        <is>
          <t>Acuerdo por el cual se exhorta a los doscientos trece ayuntamientos y a los cuatro concejos municipales del Estado para que realicen campañas de seguridad vial</t>
        </is>
      </c>
      <c r="H105" t="n">
        <v>11</v>
      </c>
      <c r="I105" t="inlineStr">
        <is>
          <t>Infraestructura, Movilidad y Transporte</t>
        </is>
      </c>
      <c r="J105" t="n">
        <v>40</v>
      </c>
      <c r="K105" t="n">
        <v>0</v>
      </c>
      <c r="L105" t="n">
        <v>0</v>
      </c>
      <c r="M105" t="n">
        <v>1</v>
      </c>
      <c r="N105">
        <f>SUM(J105:M105)</f>
        <v/>
      </c>
      <c r="O105" s="4">
        <f>SUM(J105:L105)/SUM(J105:M105)</f>
        <v/>
      </c>
      <c r="P105" s="5">
        <f>MAX(J105:L105)/SUM(J105:L105)</f>
        <v/>
      </c>
    </row>
    <row r="106">
      <c r="A106" t="inlineStr">
        <is>
          <t>Primer año</t>
        </is>
      </c>
      <c r="B106" t="inlineStr">
        <is>
          <t>Segundo periodo</t>
        </is>
      </c>
      <c r="C106" t="n">
        <v>35</v>
      </c>
      <c r="D106" t="n">
        <v>104</v>
      </c>
      <c r="E106" s="3" t="n">
        <v>45715</v>
      </c>
      <c r="F106" t="inlineStr">
        <is>
          <t>Punto de Acuerdo</t>
        </is>
      </c>
      <c r="G106" t="inlineStr">
        <is>
          <t>Acuerdo por el cual se exhorta a los doscientos trece ayuntamientos y a los cuatro concejos municipales del Estado para que realicen acciones para promover una cultura de la separación de basura</t>
        </is>
      </c>
      <c r="H106" t="n">
        <v>5</v>
      </c>
      <c r="I106" t="inlineStr">
        <is>
          <t>Medio Ambiente</t>
        </is>
      </c>
      <c r="J106" t="n">
        <v>40</v>
      </c>
      <c r="K106" t="n">
        <v>0</v>
      </c>
      <c r="L106" t="n">
        <v>0</v>
      </c>
      <c r="M106" t="n">
        <v>1</v>
      </c>
      <c r="N106">
        <f>SUM(J106:M106)</f>
        <v/>
      </c>
      <c r="O106" s="4">
        <f>SUM(J106:L106)/SUM(J106:M106)</f>
        <v/>
      </c>
      <c r="P106" s="5">
        <f>MAX(J106:L106)/SUM(J106:L106)</f>
        <v/>
      </c>
    </row>
    <row r="107">
      <c r="A107" t="inlineStr">
        <is>
          <t>Primer año</t>
        </is>
      </c>
      <c r="B107" t="inlineStr">
        <is>
          <t>Segundo periodo</t>
        </is>
      </c>
      <c r="C107" t="n">
        <v>36</v>
      </c>
      <c r="D107" t="n">
        <v>105</v>
      </c>
      <c r="E107" s="3" t="n">
        <v>45715</v>
      </c>
      <c r="F107" t="inlineStr">
        <is>
          <t>Punto de Acuerdo</t>
        </is>
      </c>
      <c r="G107" t="inlineStr">
        <is>
          <t>Acuerdo por el cual se exhorta a los doscientos trece ayuntamientos y a los cuatro concejos municipales del Estado para que contraten exclusivamente a prestadores de servicio de grúas que cumplan con la normativa estatal</t>
        </is>
      </c>
      <c r="H107" t="n">
        <v>11</v>
      </c>
      <c r="I107" t="inlineStr">
        <is>
          <t>Infraestructura, Movilidad y Transporte</t>
        </is>
      </c>
      <c r="J107" t="n">
        <v>40</v>
      </c>
      <c r="K107" t="n">
        <v>0</v>
      </c>
      <c r="L107" t="n">
        <v>0</v>
      </c>
      <c r="M107" t="n">
        <v>1</v>
      </c>
      <c r="N107">
        <f>SUM(J107:M107)</f>
        <v/>
      </c>
      <c r="O107" s="4">
        <f>SUM(J107:L107)/SUM(J107:M107)</f>
        <v/>
      </c>
      <c r="P107" s="5">
        <f>MAX(J107:L107)/SUM(J107:L107)</f>
        <v/>
      </c>
    </row>
    <row r="108">
      <c r="A108" t="inlineStr">
        <is>
          <t>Primer año</t>
        </is>
      </c>
      <c r="B108" t="inlineStr">
        <is>
          <t>Segundo periodo</t>
        </is>
      </c>
      <c r="C108" t="n">
        <v>37</v>
      </c>
      <c r="D108" t="n">
        <v>106</v>
      </c>
      <c r="E108" s="3" t="n">
        <v>45715</v>
      </c>
      <c r="F108" t="inlineStr">
        <is>
          <t>Punto de Acuerdo</t>
        </is>
      </c>
      <c r="G108" t="inlineStr">
        <is>
          <t>Acuerdo por el cual se exhorta a diversas autoridades estatales y municipales para que promuevan la activación física y la práctica del deporte en centros laborales</t>
        </is>
      </c>
      <c r="H108" t="n">
        <v>16</v>
      </c>
      <c r="I108" t="inlineStr">
        <is>
          <t>Trabajo y Previsión Social</t>
        </is>
      </c>
      <c r="J108" t="n">
        <v>40</v>
      </c>
      <c r="K108" t="n">
        <v>0</v>
      </c>
      <c r="L108" t="n">
        <v>0</v>
      </c>
      <c r="M108" t="n">
        <v>1</v>
      </c>
      <c r="N108">
        <f>SUM(J108:M108)</f>
        <v/>
      </c>
      <c r="O108" s="4">
        <f>SUM(J108:L108)/SUM(J108:M108)</f>
        <v/>
      </c>
      <c r="P108" s="5">
        <f>MAX(J108:L108)/SUM(J108:L108)</f>
        <v/>
      </c>
    </row>
    <row r="109">
      <c r="A109" t="inlineStr">
        <is>
          <t>Primer año</t>
        </is>
      </c>
      <c r="B109" t="inlineStr">
        <is>
          <t>Segundo periodo</t>
        </is>
      </c>
      <c r="C109" t="n">
        <v>38</v>
      </c>
      <c r="D109" t="n">
        <v>107</v>
      </c>
      <c r="E109" s="3" t="n">
        <v>45722</v>
      </c>
      <c r="F109" t="inlineStr">
        <is>
          <t>Punto de Acuerdo</t>
        </is>
      </c>
      <c r="G109" t="inlineStr">
        <is>
          <t>Acuerdo por el cual se acepta la renuncia del titular del órgano interno de control del honorable congreso del estado</t>
        </is>
      </c>
      <c r="H109" t="n">
        <v>18</v>
      </c>
      <c r="I109" t="inlineStr">
        <is>
          <t>Administración Pública</t>
        </is>
      </c>
      <c r="J109" t="n">
        <v>37</v>
      </c>
      <c r="K109" t="n">
        <v>0</v>
      </c>
      <c r="L109" t="n">
        <v>0</v>
      </c>
      <c r="M109" t="n">
        <v>4</v>
      </c>
      <c r="N109">
        <f>SUM(J109:M109)</f>
        <v/>
      </c>
      <c r="O109" s="4">
        <f>SUM(J109:L109)/SUM(J109:M109)</f>
        <v/>
      </c>
      <c r="P109" s="5">
        <f>MAX(J109:L109)/SUM(J109:L109)</f>
        <v/>
      </c>
    </row>
    <row r="110">
      <c r="A110" t="inlineStr">
        <is>
          <t>Primer año</t>
        </is>
      </c>
      <c r="B110" t="inlineStr">
        <is>
          <t>Segundo periodo</t>
        </is>
      </c>
      <c r="C110" t="n">
        <v>39</v>
      </c>
      <c r="D110" t="n">
        <v>108</v>
      </c>
      <c r="E110" s="3" t="n">
        <v>45722</v>
      </c>
      <c r="F110" t="inlineStr">
        <is>
          <t>Punto de Acuerdo</t>
        </is>
      </c>
      <c r="G110" t="inlineStr">
        <is>
          <t>Acuerdo por el cual se nombra al ciudadano José Alberto Poumián Toledo como titular del órgano interno de control del honorable congreso del estado</t>
        </is>
      </c>
      <c r="H110" t="n">
        <v>18</v>
      </c>
      <c r="I110" t="inlineStr">
        <is>
          <t>Administración Pública</t>
        </is>
      </c>
      <c r="J110" t="n">
        <v>38</v>
      </c>
      <c r="K110" t="n">
        <v>0</v>
      </c>
      <c r="L110" t="n">
        <v>0</v>
      </c>
      <c r="M110" t="n">
        <v>3</v>
      </c>
      <c r="N110">
        <f>SUM(J110:M110)</f>
        <v/>
      </c>
      <c r="O110" s="4">
        <f>SUM(J110:L110)/SUM(J110:M110)</f>
        <v/>
      </c>
      <c r="P110" s="5">
        <f>MAX(J110:L110)/SUM(J110:L110)</f>
        <v/>
      </c>
    </row>
    <row r="111">
      <c r="A111" t="inlineStr">
        <is>
          <t>Primer año</t>
        </is>
      </c>
      <c r="B111" t="inlineStr">
        <is>
          <t>Segundo periodo</t>
        </is>
      </c>
      <c r="C111" t="n">
        <v>40</v>
      </c>
      <c r="D111" t="n">
        <v>109</v>
      </c>
      <c r="E111" s="3" t="n">
        <v>45722</v>
      </c>
      <c r="F111" t="inlineStr">
        <is>
          <t>Iniciativa</t>
        </is>
      </c>
      <c r="G111" t="inlineStr">
        <is>
          <t>Dictamen con minuta de decreto por el cual se crea el organismo público descentralizado denominado “Universidad de las Ciencias Policiales y de la Seguridad del Estado de ”</t>
        </is>
      </c>
      <c r="H111" t="n">
        <v>3</v>
      </c>
      <c r="I111" t="inlineStr">
        <is>
          <t>Seguridad Pública, Protección Civil y Narcotráfico</t>
        </is>
      </c>
      <c r="J111" t="n">
        <v>38</v>
      </c>
      <c r="K111" t="n">
        <v>0</v>
      </c>
      <c r="L111" t="n">
        <v>0</v>
      </c>
      <c r="M111" t="n">
        <v>3</v>
      </c>
      <c r="N111">
        <f>SUM(J111:M111)</f>
        <v/>
      </c>
      <c r="O111" s="4">
        <f>SUM(J111:L111)/SUM(J111:M111)</f>
        <v/>
      </c>
      <c r="P111" s="5">
        <f>MAX(J111:L111)/SUM(J111:L111)</f>
        <v/>
      </c>
    </row>
    <row r="112">
      <c r="A112" t="inlineStr">
        <is>
          <t>Primer año</t>
        </is>
      </c>
      <c r="B112" t="inlineStr">
        <is>
          <t>Segundo periodo</t>
        </is>
      </c>
      <c r="C112" t="n">
        <v>41</v>
      </c>
      <c r="D112" t="n">
        <v>110</v>
      </c>
      <c r="E112" s="3" t="n">
        <v>45722</v>
      </c>
      <c r="F112" t="inlineStr">
        <is>
          <t>Iniciativa</t>
        </is>
      </c>
      <c r="G112" t="inlineStr">
        <is>
          <t>Dictamen con minuta de decreto por el cual se reforma el párrafo primero del artículo 18 BIS de la ley para el acceso de las mujeres a una vida libre de violencia del estado de</t>
        </is>
      </c>
      <c r="H112" t="n">
        <v>20</v>
      </c>
      <c r="I112" t="inlineStr">
        <is>
          <t>Justicia y Estado de Derecho en temas de Mujeres</t>
        </is>
      </c>
      <c r="J112" t="n">
        <v>38</v>
      </c>
      <c r="K112" t="n">
        <v>0</v>
      </c>
      <c r="L112" t="n">
        <v>0</v>
      </c>
      <c r="M112" t="n">
        <v>3</v>
      </c>
      <c r="N112">
        <f>SUM(J112:M112)</f>
        <v/>
      </c>
      <c r="O112" s="4">
        <f>SUM(J112:L112)/SUM(J112:M112)</f>
        <v/>
      </c>
      <c r="P112" s="5">
        <f>MAX(J112:L112)/SUM(J112:L112)</f>
        <v/>
      </c>
    </row>
    <row r="113">
      <c r="A113" t="inlineStr">
        <is>
          <t>Primer año</t>
        </is>
      </c>
      <c r="B113" t="inlineStr">
        <is>
          <t>Segundo periodo</t>
        </is>
      </c>
      <c r="C113" t="n">
        <v>42</v>
      </c>
      <c r="D113" t="n">
        <v>111</v>
      </c>
      <c r="E113" s="3" t="n">
        <v>45722</v>
      </c>
      <c r="F113" t="inlineStr">
        <is>
          <t>Punto de Acuerdo</t>
        </is>
      </c>
      <c r="G113" t="inlineStr">
        <is>
          <t>Acuerdo por el que se exhorta a la secretaría de planeación, finanzas y administración, y a la secretaría de ciencia, humanidades, tecnología e innovación</t>
        </is>
      </c>
      <c r="H113" t="n">
        <v>18</v>
      </c>
      <c r="I113" t="inlineStr">
        <is>
          <t>Administración Pública</t>
        </is>
      </c>
      <c r="J113" t="n">
        <v>38</v>
      </c>
      <c r="K113" t="n">
        <v>0</v>
      </c>
      <c r="L113" t="n">
        <v>0</v>
      </c>
      <c r="M113" t="n">
        <v>3</v>
      </c>
      <c r="N113">
        <f>SUM(J113:M113)</f>
        <v/>
      </c>
      <c r="O113" s="4">
        <f>SUM(J113:L113)/SUM(J113:M113)</f>
        <v/>
      </c>
      <c r="P113" s="5">
        <f>MAX(J113:L113)/SUM(J113:L113)</f>
        <v/>
      </c>
    </row>
    <row r="114">
      <c r="A114" t="inlineStr">
        <is>
          <t>Primer año</t>
        </is>
      </c>
      <c r="B114" t="inlineStr">
        <is>
          <t>Segundo periodo</t>
        </is>
      </c>
      <c r="C114" t="n">
        <v>43</v>
      </c>
      <c r="D114" t="n">
        <v>112</v>
      </c>
      <c r="E114" s="3" t="n">
        <v>45722</v>
      </c>
      <c r="F114" t="inlineStr">
        <is>
          <t>Punto de Acuerdo</t>
        </is>
      </c>
      <c r="G114" t="inlineStr">
        <is>
          <t>Acuerdo por el que se exhorta a la fiscalía general del estado de</t>
        </is>
      </c>
      <c r="H114" t="n">
        <v>14</v>
      </c>
      <c r="I114" t="inlineStr">
        <is>
          <t>Justicia y Estado de Derecho</t>
        </is>
      </c>
      <c r="J114" t="n">
        <v>38</v>
      </c>
      <c r="K114" t="n">
        <v>0</v>
      </c>
      <c r="L114" t="n">
        <v>0</v>
      </c>
      <c r="M114" t="n">
        <v>3</v>
      </c>
      <c r="N114">
        <f>SUM(J114:M114)</f>
        <v/>
      </c>
      <c r="O114" s="4">
        <f>SUM(J114:L114)/SUM(J114:M114)</f>
        <v/>
      </c>
      <c r="P114" s="5">
        <f>MAX(J114:L114)/SUM(J114:L114)</f>
        <v/>
      </c>
    </row>
    <row r="115">
      <c r="A115" t="inlineStr">
        <is>
          <t>Primer año</t>
        </is>
      </c>
      <c r="B115" t="inlineStr">
        <is>
          <t>Segundo periodo</t>
        </is>
      </c>
      <c r="C115" t="n">
        <v>44</v>
      </c>
      <c r="D115" t="n">
        <v>113</v>
      </c>
      <c r="E115" s="3" t="n">
        <v>45722</v>
      </c>
      <c r="F115" t="inlineStr">
        <is>
          <t>Punto de Acuerdo</t>
        </is>
      </c>
      <c r="G115" t="inlineStr">
        <is>
          <t>Acuerdo por el que se exhorta al poder judicial del estado</t>
        </is>
      </c>
      <c r="H115" t="n">
        <v>14</v>
      </c>
      <c r="I115" t="inlineStr">
        <is>
          <t>Justicia y Estado de Derecho</t>
        </is>
      </c>
      <c r="J115" t="n">
        <v>38</v>
      </c>
      <c r="K115" t="n">
        <v>0</v>
      </c>
      <c r="L115" t="n">
        <v>0</v>
      </c>
      <c r="M115" t="n">
        <v>3</v>
      </c>
      <c r="N115">
        <f>SUM(J115:M115)</f>
        <v/>
      </c>
      <c r="O115" s="4">
        <f>SUM(J115:L115)/SUM(J115:M115)</f>
        <v/>
      </c>
      <c r="P115" s="5">
        <f>MAX(J115:L115)/SUM(J115:L115)</f>
        <v/>
      </c>
    </row>
    <row r="116">
      <c r="A116" t="inlineStr">
        <is>
          <t>Primer año</t>
        </is>
      </c>
      <c r="B116" t="inlineStr">
        <is>
          <t>Segundo periodo</t>
        </is>
      </c>
      <c r="C116" t="n">
        <v>45</v>
      </c>
      <c r="D116" t="n">
        <v>114</v>
      </c>
      <c r="E116" s="3" t="n">
        <v>45722</v>
      </c>
      <c r="F116" t="inlineStr">
        <is>
          <t>Punto de Acuerdo</t>
        </is>
      </c>
      <c r="G116" t="inlineStr">
        <is>
          <t>Acuerdo por el que se exhorta a la fiscalía general del estado</t>
        </is>
      </c>
      <c r="H116" t="n">
        <v>20</v>
      </c>
      <c r="I116" t="inlineStr">
        <is>
          <t>Justicia y Estado de Derecho en temas de Mujeres</t>
        </is>
      </c>
      <c r="J116" t="n">
        <v>38</v>
      </c>
      <c r="K116" t="n">
        <v>0</v>
      </c>
      <c r="L116" t="n">
        <v>0</v>
      </c>
      <c r="M116" t="n">
        <v>3</v>
      </c>
      <c r="N116">
        <f>SUM(J116:M116)</f>
        <v/>
      </c>
      <c r="O116" s="4">
        <f>SUM(J116:L116)/SUM(J116:M116)</f>
        <v/>
      </c>
      <c r="P116" s="5">
        <f>MAX(J116:L116)/SUM(J116:L116)</f>
        <v/>
      </c>
    </row>
    <row r="117">
      <c r="A117" t="inlineStr">
        <is>
          <t>Primer año</t>
        </is>
      </c>
      <c r="B117" t="inlineStr">
        <is>
          <t>Segundo periodo</t>
        </is>
      </c>
      <c r="C117" t="n">
        <v>46</v>
      </c>
      <c r="D117" t="n">
        <v>115</v>
      </c>
      <c r="E117" s="3" t="n">
        <v>45722</v>
      </c>
      <c r="F117" t="inlineStr">
        <is>
          <t>Punto de Acuerdo</t>
        </is>
      </c>
      <c r="G117" t="inlineStr">
        <is>
          <t>Acuerdo por el que se exhorta a la secretaría de movilidad y transporte del estado</t>
        </is>
      </c>
      <c r="H117" t="n">
        <v>11</v>
      </c>
      <c r="I117" t="inlineStr">
        <is>
          <t>Infraestructura, Movilidad y Transporte</t>
        </is>
      </c>
      <c r="J117" t="n">
        <v>38</v>
      </c>
      <c r="K117" t="n">
        <v>0</v>
      </c>
      <c r="L117" t="n">
        <v>0</v>
      </c>
      <c r="M117" t="n">
        <v>3</v>
      </c>
      <c r="N117">
        <f>SUM(J117:M117)</f>
        <v/>
      </c>
      <c r="O117" s="4">
        <f>SUM(J117:L117)/SUM(J117:M117)</f>
        <v/>
      </c>
      <c r="P117" s="5">
        <f>MAX(J117:L117)/SUM(J117:L117)</f>
        <v/>
      </c>
    </row>
    <row r="118">
      <c r="A118" t="inlineStr">
        <is>
          <t>Primer año</t>
        </is>
      </c>
      <c r="B118" t="inlineStr">
        <is>
          <t>Segundo periodo</t>
        </is>
      </c>
      <c r="C118" t="n">
        <v>47</v>
      </c>
      <c r="D118" t="n">
        <v>116</v>
      </c>
      <c r="E118" s="3" t="n">
        <v>45722</v>
      </c>
      <c r="F118" t="inlineStr">
        <is>
          <t>Punto de Acuerdo</t>
        </is>
      </c>
      <c r="G118" t="inlineStr">
        <is>
          <t>Acuerdo por el que se exhorta a la secretaría de salud del gobierno del estado</t>
        </is>
      </c>
      <c r="H118" t="n">
        <v>6</v>
      </c>
      <c r="I118" t="inlineStr">
        <is>
          <t>Salud</t>
        </is>
      </c>
      <c r="J118" t="n">
        <v>38</v>
      </c>
      <c r="K118" t="n">
        <v>0</v>
      </c>
      <c r="L118" t="n">
        <v>0</v>
      </c>
      <c r="M118" t="n">
        <v>3</v>
      </c>
      <c r="N118">
        <f>SUM(J118:M118)</f>
        <v/>
      </c>
      <c r="O118" s="4">
        <f>SUM(J118:L118)/SUM(J118:M118)</f>
        <v/>
      </c>
      <c r="P118" s="5">
        <f>MAX(J118:L118)/SUM(J118:L118)</f>
        <v/>
      </c>
    </row>
    <row r="119">
      <c r="A119" t="inlineStr">
        <is>
          <t>Primer año</t>
        </is>
      </c>
      <c r="B119" t="inlineStr">
        <is>
          <t>Segundo periodo</t>
        </is>
      </c>
      <c r="C119" t="n">
        <v>48</v>
      </c>
      <c r="D119" t="n">
        <v>117</v>
      </c>
      <c r="E119" s="3" t="n">
        <v>45722</v>
      </c>
      <c r="F119" t="inlineStr">
        <is>
          <t>Punto de Acuerdo</t>
        </is>
      </c>
      <c r="G119" t="inlineStr">
        <is>
          <t>Acuerdo por el que se exhorta a la secretaría de salud del gobierno del estado</t>
        </is>
      </c>
      <c r="H119" t="n">
        <v>6</v>
      </c>
      <c r="I119" t="inlineStr">
        <is>
          <t>Salud</t>
        </is>
      </c>
      <c r="J119" t="n">
        <v>38</v>
      </c>
      <c r="K119" t="n">
        <v>0</v>
      </c>
      <c r="L119" t="n">
        <v>0</v>
      </c>
      <c r="M119" t="n">
        <v>3</v>
      </c>
      <c r="N119">
        <f>SUM(J119:M119)</f>
        <v/>
      </c>
      <c r="O119" s="4">
        <f>SUM(J119:L119)/SUM(J119:M119)</f>
        <v/>
      </c>
      <c r="P119" s="5">
        <f>MAX(J119:L119)/SUM(J119:L119)</f>
        <v/>
      </c>
    </row>
    <row r="120">
      <c r="A120" t="inlineStr">
        <is>
          <t>Primer año</t>
        </is>
      </c>
      <c r="B120" t="inlineStr">
        <is>
          <t>Segundo periodo</t>
        </is>
      </c>
      <c r="C120" t="n">
        <v>49</v>
      </c>
      <c r="D120" t="n">
        <v>118</v>
      </c>
      <c r="E120" s="3" t="n">
        <v>45722</v>
      </c>
      <c r="F120" t="inlineStr">
        <is>
          <t>Punto de Acuerdo</t>
        </is>
      </c>
      <c r="G120" t="inlineStr">
        <is>
          <t>Acuerdo por el que se exhorta a la secretaría de educación del gobierno del estado de</t>
        </is>
      </c>
      <c r="H120" t="n">
        <v>8</v>
      </c>
      <c r="I120" t="inlineStr">
        <is>
          <t>Educación y Cultura</t>
        </is>
      </c>
      <c r="J120" t="n">
        <v>38</v>
      </c>
      <c r="K120" t="n">
        <v>0</v>
      </c>
      <c r="L120" t="n">
        <v>0</v>
      </c>
      <c r="M120" t="n">
        <v>3</v>
      </c>
      <c r="N120">
        <f>SUM(J120:M120)</f>
        <v/>
      </c>
      <c r="O120" s="4">
        <f>SUM(J120:L120)/SUM(J120:M120)</f>
        <v/>
      </c>
      <c r="P120" s="5">
        <f>MAX(J120:L120)/SUM(J120:L120)</f>
        <v/>
      </c>
    </row>
    <row r="121">
      <c r="A121" t="inlineStr">
        <is>
          <t>Primer año</t>
        </is>
      </c>
      <c r="B121" t="inlineStr">
        <is>
          <t>Segundo periodo</t>
        </is>
      </c>
      <c r="C121" t="n">
        <v>50</v>
      </c>
      <c r="D121" t="n">
        <v>119</v>
      </c>
      <c r="E121" s="3" t="n">
        <v>45722</v>
      </c>
      <c r="F121" t="inlineStr">
        <is>
          <t>Punto de Acuerdo</t>
        </is>
      </c>
      <c r="G121" t="inlineStr">
        <is>
          <t>Acuerdo por el que se exhorta a la secretaría de educación del gobierno del estado de</t>
        </is>
      </c>
      <c r="H121" t="n">
        <v>8</v>
      </c>
      <c r="I121" t="inlineStr">
        <is>
          <t>Educación y Cultura</t>
        </is>
      </c>
      <c r="J121" t="n">
        <v>38</v>
      </c>
      <c r="K121" t="n">
        <v>0</v>
      </c>
      <c r="L121" t="n">
        <v>0</v>
      </c>
      <c r="M121" t="n">
        <v>3</v>
      </c>
      <c r="N121">
        <f>SUM(J121:M121)</f>
        <v/>
      </c>
      <c r="O121" s="4">
        <f>SUM(J121:L121)/SUM(J121:M121)</f>
        <v/>
      </c>
      <c r="P121" s="5">
        <f>MAX(J121:L121)/SUM(J121:L121)</f>
        <v/>
      </c>
    </row>
    <row r="122">
      <c r="A122" t="inlineStr">
        <is>
          <t>Primer año</t>
        </is>
      </c>
      <c r="B122" t="inlineStr">
        <is>
          <t>Segundo periodo</t>
        </is>
      </c>
      <c r="C122" t="n">
        <v>51</v>
      </c>
      <c r="D122" t="n">
        <v>120</v>
      </c>
      <c r="E122" s="3" t="n">
        <v>45722</v>
      </c>
      <c r="F122" t="inlineStr">
        <is>
          <t>Punto de Acuerdo</t>
        </is>
      </c>
      <c r="G122" t="inlineStr">
        <is>
          <t>Acuerdo por el que se exhorta a la secretaría de educación, a la secretaría de salud y a los doscientos trece ayuntamientos</t>
        </is>
      </c>
      <c r="H122" t="n">
        <v>8</v>
      </c>
      <c r="I122" t="inlineStr">
        <is>
          <t>Educación y Cultura</t>
        </is>
      </c>
      <c r="J122" t="n">
        <v>39</v>
      </c>
      <c r="K122" t="n">
        <v>0</v>
      </c>
      <c r="L122" t="n">
        <v>0</v>
      </c>
      <c r="M122" t="n">
        <v>2</v>
      </c>
      <c r="N122">
        <f>SUM(J122:M122)</f>
        <v/>
      </c>
      <c r="O122" s="4">
        <f>SUM(J122:L122)/SUM(J122:M122)</f>
        <v/>
      </c>
      <c r="P122" s="5">
        <f>MAX(J122:L122)/SUM(J122:L122)</f>
        <v/>
      </c>
    </row>
    <row r="123">
      <c r="A123" t="inlineStr">
        <is>
          <t>Primer año</t>
        </is>
      </c>
      <c r="B123" t="inlineStr">
        <is>
          <t>Segundo periodo</t>
        </is>
      </c>
      <c r="C123" t="n">
        <v>52</v>
      </c>
      <c r="D123" t="n">
        <v>121</v>
      </c>
      <c r="E123" s="3" t="n">
        <v>45722</v>
      </c>
      <c r="F123" t="inlineStr">
        <is>
          <t>Punto de Acuerdo</t>
        </is>
      </c>
      <c r="G123" t="inlineStr">
        <is>
          <t>Acuerdo por el que se exhorta a la secretaría de educación pública federal, a la secretaría de educación del estado de</t>
        </is>
      </c>
      <c r="H123" t="n">
        <v>8</v>
      </c>
      <c r="I123" t="inlineStr">
        <is>
          <t>Educación y Cultura</t>
        </is>
      </c>
      <c r="J123" t="n">
        <v>39</v>
      </c>
      <c r="K123" t="n">
        <v>0</v>
      </c>
      <c r="L123" t="n">
        <v>0</v>
      </c>
      <c r="M123" t="n">
        <v>2</v>
      </c>
      <c r="N123">
        <f>SUM(J123:M123)</f>
        <v/>
      </c>
      <c r="O123" s="4">
        <f>SUM(J123:L123)/SUM(J123:M123)</f>
        <v/>
      </c>
      <c r="P123" s="5">
        <f>MAX(J123:L123)/SUM(J123:L123)</f>
        <v/>
      </c>
    </row>
    <row r="124">
      <c r="A124" t="inlineStr">
        <is>
          <t>Primer año</t>
        </is>
      </c>
      <c r="B124" t="inlineStr">
        <is>
          <t>Segundo periodo</t>
        </is>
      </c>
      <c r="C124" t="n">
        <v>53</v>
      </c>
      <c r="D124" t="n">
        <v>122</v>
      </c>
      <c r="E124" s="3" t="n">
        <v>45722</v>
      </c>
      <c r="F124" t="inlineStr">
        <is>
          <t>Punto de Acuerdo</t>
        </is>
      </c>
      <c r="G124" t="inlineStr">
        <is>
          <t>Acuerdo por el que se exhorta a la persona titular del poder judicial, al poder ejecutivo</t>
        </is>
      </c>
      <c r="H124" t="n">
        <v>20</v>
      </c>
      <c r="I124" t="inlineStr">
        <is>
          <t>Justicia y Estado de Derecho en temas de Mujeres</t>
        </is>
      </c>
      <c r="J124" t="n">
        <v>39</v>
      </c>
      <c r="K124" t="n">
        <v>0</v>
      </c>
      <c r="L124" t="n">
        <v>0</v>
      </c>
      <c r="M124" t="n">
        <v>2</v>
      </c>
      <c r="N124">
        <f>SUM(J124:M124)</f>
        <v/>
      </c>
      <c r="O124" s="4">
        <f>SUM(J124:L124)/SUM(J124:M124)</f>
        <v/>
      </c>
      <c r="P124" s="5">
        <f>MAX(J124:L124)/SUM(J124:L124)</f>
        <v/>
      </c>
    </row>
    <row r="125">
      <c r="A125" t="inlineStr">
        <is>
          <t>Primer año</t>
        </is>
      </c>
      <c r="B125" t="inlineStr">
        <is>
          <t>Segundo periodo</t>
        </is>
      </c>
      <c r="C125" t="n">
        <v>54</v>
      </c>
      <c r="D125" t="n">
        <v>123</v>
      </c>
      <c r="E125" s="3" t="n">
        <v>45722</v>
      </c>
      <c r="F125" t="inlineStr">
        <is>
          <t>Punto de Acuerdo</t>
        </is>
      </c>
      <c r="G125" t="inlineStr">
        <is>
          <t>Acuerdo por el que se exhorta a la secretaría anticorrupción y buen gobierno y la secretaría de las mujeres</t>
        </is>
      </c>
      <c r="H125" t="n">
        <v>20</v>
      </c>
      <c r="I125" t="inlineStr">
        <is>
          <t>Justicia y Estado de Derecho en temas de Mujeres</t>
        </is>
      </c>
      <c r="J125" t="n">
        <v>39</v>
      </c>
      <c r="K125" t="n">
        <v>0</v>
      </c>
      <c r="L125" t="n">
        <v>0</v>
      </c>
      <c r="M125" t="n">
        <v>2</v>
      </c>
      <c r="N125">
        <f>SUM(J125:M125)</f>
        <v/>
      </c>
      <c r="O125" s="4">
        <f>SUM(J125:L125)/SUM(J125:M125)</f>
        <v/>
      </c>
      <c r="P125" s="5">
        <f>MAX(J125:L125)/SUM(J125:L125)</f>
        <v/>
      </c>
    </row>
    <row r="126">
      <c r="A126" t="inlineStr">
        <is>
          <t>Primer año</t>
        </is>
      </c>
      <c r="B126" t="inlineStr">
        <is>
          <t>Segundo periodo</t>
        </is>
      </c>
      <c r="C126" t="n">
        <v>55</v>
      </c>
      <c r="D126" t="n">
        <v>124</v>
      </c>
      <c r="E126" s="3" t="n">
        <v>45722</v>
      </c>
      <c r="F126" t="inlineStr">
        <is>
          <t>Punto de Acuerdo</t>
        </is>
      </c>
      <c r="G126" t="inlineStr">
        <is>
          <t>Acuerdo por el que se exhorta respetuosamente a la secretaría de desarrollo económico y trabajo del gobierno del estado de</t>
        </is>
      </c>
      <c r="H126" t="n">
        <v>1</v>
      </c>
      <c r="I126" t="inlineStr">
        <is>
          <t>Economía, Comercio y Competitividad</t>
        </is>
      </c>
      <c r="J126" t="n">
        <v>39</v>
      </c>
      <c r="K126" t="n">
        <v>0</v>
      </c>
      <c r="L126" t="n">
        <v>0</v>
      </c>
      <c r="M126" t="n">
        <v>2</v>
      </c>
      <c r="N126">
        <f>SUM(J126:M126)</f>
        <v/>
      </c>
      <c r="O126" s="4">
        <f>SUM(J126:L126)/SUM(J126:M126)</f>
        <v/>
      </c>
      <c r="P126" s="5">
        <f>MAX(J126:L126)/SUM(J126:L126)</f>
        <v/>
      </c>
    </row>
    <row r="127">
      <c r="A127" t="inlineStr">
        <is>
          <t>Primer año</t>
        </is>
      </c>
      <c r="B127" t="inlineStr">
        <is>
          <t>Segundo periodo</t>
        </is>
      </c>
      <c r="C127" t="n">
        <v>56</v>
      </c>
      <c r="D127" t="n">
        <v>125</v>
      </c>
      <c r="E127" s="3" t="n">
        <v>45722</v>
      </c>
      <c r="F127" t="inlineStr">
        <is>
          <t>Punto de Acuerdo</t>
        </is>
      </c>
      <c r="G127" t="inlineStr">
        <is>
          <t>Acuerdo por el que se exhorta respetuosamente a la secretaría de medio ambiente, desarrollo sustentable y ordenamiento territorial del gobierno del estado de</t>
        </is>
      </c>
      <c r="H127" t="n">
        <v>5</v>
      </c>
      <c r="I127" t="inlineStr">
        <is>
          <t>Medio Ambiente</t>
        </is>
      </c>
      <c r="J127" t="n">
        <v>39</v>
      </c>
      <c r="K127" t="n">
        <v>0</v>
      </c>
      <c r="L127" t="n">
        <v>0</v>
      </c>
      <c r="M127" t="n">
        <v>2</v>
      </c>
      <c r="N127">
        <f>SUM(J127:M127)</f>
        <v/>
      </c>
      <c r="O127" s="4">
        <f>SUM(J127:L127)/SUM(J127:M127)</f>
        <v/>
      </c>
      <c r="P127" s="5">
        <f>MAX(J127:L127)/SUM(J127:L127)</f>
        <v/>
      </c>
    </row>
    <row r="128">
      <c r="A128" t="inlineStr">
        <is>
          <t>Primer año</t>
        </is>
      </c>
      <c r="B128" t="inlineStr">
        <is>
          <t>Segundo periodo</t>
        </is>
      </c>
      <c r="C128" t="n">
        <v>57</v>
      </c>
      <c r="D128" t="n">
        <v>126</v>
      </c>
      <c r="E128" s="3" t="n">
        <v>45722</v>
      </c>
      <c r="F128" t="inlineStr">
        <is>
          <t>Punto de Acuerdo</t>
        </is>
      </c>
      <c r="G128" t="inlineStr">
        <is>
          <t>Acuerdo por el que se exhorta a los doscientos trece ayuntamientos y a los cuatro concejos municipales del estado de</t>
        </is>
      </c>
      <c r="H128" t="n">
        <v>20</v>
      </c>
      <c r="I128" t="inlineStr">
        <is>
          <t>Justicia y Estado de Derecho en temas de Mujeres</t>
        </is>
      </c>
      <c r="J128" t="n">
        <v>39</v>
      </c>
      <c r="K128" t="n">
        <v>0</v>
      </c>
      <c r="L128" t="n">
        <v>0</v>
      </c>
      <c r="M128" t="n">
        <v>2</v>
      </c>
      <c r="N128">
        <f>SUM(J128:M128)</f>
        <v/>
      </c>
      <c r="O128" s="4">
        <f>SUM(J128:L128)/SUM(J128:M128)</f>
        <v/>
      </c>
      <c r="P128" s="5">
        <f>MAX(J128:L128)/SUM(J128:L128)</f>
        <v/>
      </c>
    </row>
    <row r="129">
      <c r="A129" t="inlineStr">
        <is>
          <t>Primer año</t>
        </is>
      </c>
      <c r="B129" t="inlineStr">
        <is>
          <t>Segundo periodo</t>
        </is>
      </c>
      <c r="C129" t="n">
        <v>58</v>
      </c>
      <c r="D129" t="n">
        <v>127</v>
      </c>
      <c r="E129" s="3" t="n">
        <v>45722</v>
      </c>
      <c r="F129" t="inlineStr">
        <is>
          <t>Punto de Acuerdo</t>
        </is>
      </c>
      <c r="G129" t="inlineStr">
        <is>
          <t>Acuerdo por el que se exhorta a la secretaría de desarrollo turístico del estado de</t>
        </is>
      </c>
      <c r="H129" t="n">
        <v>1</v>
      </c>
      <c r="I129" t="inlineStr">
        <is>
          <t>Economía, Comercio y Competitividad</t>
        </is>
      </c>
      <c r="J129" t="n">
        <v>39</v>
      </c>
      <c r="K129" t="n">
        <v>0</v>
      </c>
      <c r="L129" t="n">
        <v>0</v>
      </c>
      <c r="M129" t="n">
        <v>2</v>
      </c>
      <c r="N129">
        <f>SUM(J129:M129)</f>
        <v/>
      </c>
      <c r="O129" s="4">
        <f>SUM(J129:L129)/SUM(J129:M129)</f>
        <v/>
      </c>
      <c r="P129" s="5">
        <f>MAX(J129:L129)/SUM(J129:L129)</f>
        <v/>
      </c>
    </row>
    <row r="130">
      <c r="A130" t="inlineStr">
        <is>
          <t>Primer año</t>
        </is>
      </c>
      <c r="B130" t="inlineStr">
        <is>
          <t>Segundo periodo</t>
        </is>
      </c>
      <c r="C130" t="n">
        <v>59</v>
      </c>
      <c r="D130" t="n">
        <v>128</v>
      </c>
      <c r="E130" s="3" t="n">
        <v>45722</v>
      </c>
      <c r="F130" t="inlineStr">
        <is>
          <t>Punto de Acuerdo</t>
        </is>
      </c>
      <c r="G130" t="inlineStr">
        <is>
          <t>Acuerdo por el que se exhorta a la secretaría de desarrollo turístico del gobierno del estado</t>
        </is>
      </c>
      <c r="H130" t="n">
        <v>1</v>
      </c>
      <c r="I130" t="inlineStr">
        <is>
          <t>Economía, Comercio y Competitividad</t>
        </is>
      </c>
      <c r="J130" t="n">
        <v>39</v>
      </c>
      <c r="K130" t="n">
        <v>0</v>
      </c>
      <c r="L130" t="n">
        <v>0</v>
      </c>
      <c r="M130" t="n">
        <v>2</v>
      </c>
      <c r="N130">
        <f>SUM(J130:M130)</f>
        <v/>
      </c>
      <c r="O130" s="4">
        <f>SUM(J130:L130)/SUM(J130:M130)</f>
        <v/>
      </c>
      <c r="P130" s="5">
        <f>MAX(J130:L130)/SUM(J130:L130)</f>
        <v/>
      </c>
    </row>
    <row r="131">
      <c r="A131" t="inlineStr">
        <is>
          <t>Primer año</t>
        </is>
      </c>
      <c r="B131" t="inlineStr">
        <is>
          <t>Segundo periodo</t>
        </is>
      </c>
      <c r="C131" t="n">
        <v>60</v>
      </c>
      <c r="D131" t="n">
        <v>129</v>
      </c>
      <c r="E131" s="3" t="n">
        <v>45722</v>
      </c>
      <c r="F131" t="inlineStr">
        <is>
          <t>Punto de Acuerdo</t>
        </is>
      </c>
      <c r="G131" t="inlineStr">
        <is>
          <t>Acuerdo por el que se exhorta a la secretaría de arte y cultura del estado de</t>
        </is>
      </c>
      <c r="H131" t="n">
        <v>8</v>
      </c>
      <c r="I131" t="inlineStr">
        <is>
          <t>Educación y Cultura</t>
        </is>
      </c>
      <c r="J131" t="n">
        <v>39</v>
      </c>
      <c r="K131" t="n">
        <v>0</v>
      </c>
      <c r="L131" t="n">
        <v>0</v>
      </c>
      <c r="M131" t="n">
        <v>2</v>
      </c>
      <c r="N131">
        <f>SUM(J131:M131)</f>
        <v/>
      </c>
      <c r="O131" s="4">
        <f>SUM(J131:L131)/SUM(J131:M131)</f>
        <v/>
      </c>
      <c r="P131" s="5">
        <f>MAX(J131:L131)/SUM(J131:L131)</f>
        <v/>
      </c>
    </row>
    <row r="132">
      <c r="A132" t="inlineStr">
        <is>
          <t>Primer año</t>
        </is>
      </c>
      <c r="B132" t="inlineStr">
        <is>
          <t>Segundo periodo</t>
        </is>
      </c>
      <c r="C132" t="n">
        <v>61</v>
      </c>
      <c r="D132" t="n">
        <v>130</v>
      </c>
      <c r="E132" s="3" t="n">
        <v>45722</v>
      </c>
      <c r="F132" t="inlineStr">
        <is>
          <t>Punto de Acuerdo</t>
        </is>
      </c>
      <c r="G132" t="inlineStr">
        <is>
          <t>Acuerdo por el que se exhorta a los doscientos trece ayuntamientos y a los cuatro concejos municipales del estado</t>
        </is>
      </c>
      <c r="H132" t="n">
        <v>8</v>
      </c>
      <c r="I132" t="inlineStr">
        <is>
          <t>Educación y Cultura</t>
        </is>
      </c>
      <c r="J132" t="n">
        <v>39</v>
      </c>
      <c r="K132" t="n">
        <v>0</v>
      </c>
      <c r="L132" t="n">
        <v>0</v>
      </c>
      <c r="M132" t="n">
        <v>2</v>
      </c>
      <c r="N132">
        <f>SUM(J132:M132)</f>
        <v/>
      </c>
      <c r="O132" s="4">
        <f>SUM(J132:L132)/SUM(J132:M132)</f>
        <v/>
      </c>
      <c r="P132" s="5">
        <f>MAX(J132:L132)/SUM(J132:L132)</f>
        <v/>
      </c>
    </row>
    <row r="133">
      <c r="A133" t="inlineStr">
        <is>
          <t>Primer año</t>
        </is>
      </c>
      <c r="B133" t="inlineStr">
        <is>
          <t>Segundo periodo</t>
        </is>
      </c>
      <c r="C133" t="n">
        <v>62</v>
      </c>
      <c r="D133" t="n">
        <v>131</v>
      </c>
      <c r="E133" s="3" t="n">
        <v>45727</v>
      </c>
      <c r="F133" t="inlineStr">
        <is>
          <t>Iniciativa</t>
        </is>
      </c>
      <c r="G133" t="inlineStr">
        <is>
          <t>Dictamen con minuta de decreto por el cual se reforman, adicionan y derogan diversas disposiciones de la Constitución Política del estado libre y soberano de</t>
        </is>
      </c>
      <c r="H133" t="n">
        <v>14</v>
      </c>
      <c r="I133" t="inlineStr">
        <is>
          <t>Justicia y Estado de Derecho</t>
        </is>
      </c>
      <c r="J133" t="n">
        <v>39</v>
      </c>
      <c r="K133" t="n">
        <v>0</v>
      </c>
      <c r="L133" t="n">
        <v>0</v>
      </c>
      <c r="M133" t="n">
        <v>2</v>
      </c>
      <c r="N133">
        <f>SUM(J133:M133)</f>
        <v/>
      </c>
      <c r="O133" s="4">
        <f>SUM(J133:L133)/SUM(J133:M133)</f>
        <v/>
      </c>
      <c r="P133" s="5">
        <f>MAX(J133:L133)/SUM(J133:L133)</f>
        <v/>
      </c>
    </row>
    <row r="134">
      <c r="A134" t="inlineStr">
        <is>
          <t>Primer año</t>
        </is>
      </c>
      <c r="B134" t="inlineStr">
        <is>
          <t>Segundo periodo</t>
        </is>
      </c>
      <c r="C134" t="n">
        <v>63</v>
      </c>
      <c r="D134" t="n">
        <v>132</v>
      </c>
      <c r="E134" s="3" t="n">
        <v>45727</v>
      </c>
      <c r="F134" t="inlineStr">
        <is>
          <t>Iniciativa</t>
        </is>
      </c>
      <c r="G134" t="inlineStr">
        <is>
          <t>Dictamen con minuta de decreto por el cual se reforman y adicionan diversas disposiciones del Código de Instituciones y Procesos Electorales del estado de</t>
        </is>
      </c>
      <c r="H134" t="n">
        <v>4</v>
      </c>
      <c r="I134" t="inlineStr">
        <is>
          <t>Partidos Políticos y Elecciones</t>
        </is>
      </c>
      <c r="J134" t="n">
        <v>39</v>
      </c>
      <c r="K134" t="n">
        <v>0</v>
      </c>
      <c r="L134" t="n">
        <v>0</v>
      </c>
      <c r="M134" t="n">
        <v>2</v>
      </c>
      <c r="N134">
        <f>SUM(J134:M134)</f>
        <v/>
      </c>
      <c r="O134" s="4">
        <f>SUM(J134:L134)/SUM(J134:M134)</f>
        <v/>
      </c>
      <c r="P134" s="5">
        <f>MAX(J134:L134)/SUM(J134:L134)</f>
        <v/>
      </c>
    </row>
    <row r="135">
      <c r="A135" t="inlineStr">
        <is>
          <t>Primer año</t>
        </is>
      </c>
      <c r="B135" t="inlineStr">
        <is>
          <t>Segundo periodo</t>
        </is>
      </c>
      <c r="C135" t="n">
        <v>64</v>
      </c>
      <c r="D135" t="n">
        <v>133</v>
      </c>
      <c r="E135" s="3" t="n">
        <v>45727</v>
      </c>
      <c r="F135" t="inlineStr">
        <is>
          <t>Iniciativa</t>
        </is>
      </c>
      <c r="G135" t="inlineStr">
        <is>
          <t>Dictamen con minuta de decreto por el cual se reforman y adicionan los artículos 55, 59, 82, 115, 116 y 122 de la Constitución Política de los</t>
        </is>
      </c>
      <c r="H135" t="n">
        <v>18</v>
      </c>
      <c r="I135" t="inlineStr">
        <is>
          <t>Administración Pública</t>
        </is>
      </c>
      <c r="J135" t="n">
        <v>39</v>
      </c>
      <c r="K135" t="n">
        <v>0</v>
      </c>
      <c r="L135" t="n">
        <v>0</v>
      </c>
      <c r="M135" t="n">
        <v>2</v>
      </c>
      <c r="N135">
        <f>SUM(J135:M135)</f>
        <v/>
      </c>
      <c r="O135" s="4">
        <f>SUM(J135:L135)/SUM(J135:M135)</f>
        <v/>
      </c>
      <c r="P135" s="5">
        <f>MAX(J135:L135)/SUM(J135:L135)</f>
        <v/>
      </c>
    </row>
    <row r="136">
      <c r="A136" t="inlineStr">
        <is>
          <t>Primer año</t>
        </is>
      </c>
      <c r="B136" t="inlineStr">
        <is>
          <t>Segundo periodo</t>
        </is>
      </c>
      <c r="C136" t="n">
        <v>65</v>
      </c>
      <c r="D136" t="n">
        <v>134</v>
      </c>
      <c r="E136" s="3" t="n">
        <v>45727</v>
      </c>
      <c r="F136" t="inlineStr">
        <is>
          <t>Iniciativa</t>
        </is>
      </c>
      <c r="G136" t="inlineStr">
        <is>
          <t>Dictamen con minuta de decreto por el cual se reforman y adicionan diversas disposiciones de los artículos 4º y 27 de la Constitución Política de los</t>
        </is>
      </c>
      <c r="H136" t="n">
        <v>5</v>
      </c>
      <c r="I136" t="inlineStr">
        <is>
          <t>Medio Ambiente</t>
        </is>
      </c>
      <c r="J136" t="n">
        <v>34</v>
      </c>
      <c r="K136" t="n">
        <v>5</v>
      </c>
      <c r="L136" t="n">
        <v>0</v>
      </c>
      <c r="M136" t="n">
        <v>2</v>
      </c>
      <c r="N136">
        <f>SUM(J136:M136)</f>
        <v/>
      </c>
      <c r="O136" s="4">
        <f>SUM(J136:L136)/SUM(J136:M136)</f>
        <v/>
      </c>
      <c r="P136" s="5">
        <f>MAX(J136:L136)/SUM(J136:L136)</f>
        <v/>
      </c>
    </row>
    <row r="137">
      <c r="A137" t="inlineStr">
        <is>
          <t>Primer año</t>
        </is>
      </c>
      <c r="B137" t="inlineStr">
        <is>
          <t>Segundo periodo</t>
        </is>
      </c>
      <c r="C137" t="n">
        <v>66</v>
      </c>
      <c r="D137" t="n">
        <v>135</v>
      </c>
      <c r="E137" s="3" t="n">
        <v>45731</v>
      </c>
      <c r="F137" t="inlineStr">
        <is>
          <t>Punto de Acuerdo</t>
        </is>
      </c>
      <c r="G137" t="inlineStr">
        <is>
          <t>Acuerdo por el cual llevar a cabo las sesiones en el salón de Plenos de este recinto legislativo</t>
        </is>
      </c>
      <c r="H137" t="n">
        <v>19</v>
      </c>
      <c r="I137" t="inlineStr">
        <is>
          <t>Internos del Congreso</t>
        </is>
      </c>
      <c r="J137" t="n">
        <v>7</v>
      </c>
      <c r="K137" t="n">
        <v>0</v>
      </c>
      <c r="L137" t="n">
        <v>0</v>
      </c>
      <c r="M137" t="n">
        <v>0</v>
      </c>
      <c r="N137">
        <f>SUM(J137:M137)</f>
        <v/>
      </c>
      <c r="O137" s="4">
        <f>SUM(J137:L137)/SUM(J137:M137)</f>
        <v/>
      </c>
      <c r="P137" s="5">
        <f>MAX(J137:L137)/SUM(J137:L137)</f>
        <v/>
      </c>
    </row>
    <row r="138">
      <c r="A138" t="inlineStr">
        <is>
          <t>Primer año</t>
        </is>
      </c>
      <c r="B138" t="inlineStr">
        <is>
          <t>Segundo periodo</t>
        </is>
      </c>
      <c r="C138" t="n">
        <v>67</v>
      </c>
      <c r="D138" t="n">
        <v>136</v>
      </c>
      <c r="E138" s="3" t="n">
        <v>45731</v>
      </c>
      <c r="F138" t="inlineStr">
        <is>
          <t>Iniciativa</t>
        </is>
      </c>
      <c r="G138" t="inlineStr">
        <is>
          <t>Dictamen con minuta Proyecto de decreto por el cual se adiciona un segundo párrafo al artículo 123 de la Constitución Política de los Estados Unidos Mexicanos, en materia de apoyo a jóvenes</t>
        </is>
      </c>
      <c r="H138" t="n">
        <v>0</v>
      </c>
      <c r="I138" t="inlineStr">
        <is>
          <t>8</t>
        </is>
      </c>
      <c r="J138" t="n">
        <v>37</v>
      </c>
      <c r="K138" t="n">
        <v>0</v>
      </c>
      <c r="L138" t="n">
        <v>0</v>
      </c>
      <c r="M138" t="n">
        <v>4</v>
      </c>
      <c r="N138">
        <f>SUM(J138:M138)</f>
        <v/>
      </c>
      <c r="O138" s="4">
        <f>SUM(J138:L138)/SUM(J138:M138)</f>
        <v/>
      </c>
      <c r="P138" s="5">
        <f>MAX(J138:L138)/SUM(J138:L138)</f>
        <v/>
      </c>
    </row>
    <row r="139">
      <c r="A139" t="inlineStr">
        <is>
          <t>Primer año</t>
        </is>
      </c>
      <c r="B139" t="inlineStr">
        <is>
          <t>Segundo periodo</t>
        </is>
      </c>
      <c r="C139" t="n">
        <v>68</v>
      </c>
      <c r="D139" t="n">
        <v>137</v>
      </c>
      <c r="E139" s="3" t="n">
        <v>45731</v>
      </c>
      <c r="F139" t="inlineStr">
        <is>
          <t>Iniciativa</t>
        </is>
      </c>
      <c r="G139" t="inlineStr">
        <is>
          <t>Dictamen con minuta Proyecto de decreto por el cual se reforman y adicionan diversas disposiciones de la Constitución Política de los Estados Unidos Mexicanos, en materia de fortalecimiento de la soberanía nacional</t>
        </is>
      </c>
      <c r="H139" t="n">
        <v>0</v>
      </c>
      <c r="I139" t="inlineStr">
        <is>
          <t>14</t>
        </is>
      </c>
      <c r="J139" t="n">
        <v>36</v>
      </c>
      <c r="K139" t="n">
        <v>1</v>
      </c>
      <c r="L139" t="n">
        <v>0</v>
      </c>
      <c r="M139" t="n">
        <v>4</v>
      </c>
      <c r="N139">
        <f>SUM(J139:M139)</f>
        <v/>
      </c>
      <c r="O139" s="4">
        <f>SUM(J139:L139)/SUM(J139:M139)</f>
        <v/>
      </c>
      <c r="P139" s="5">
        <f>MAX(J139:L139)/SUM(J139:L139)</f>
        <v/>
      </c>
    </row>
    <row r="140">
      <c r="A140" t="inlineStr">
        <is>
          <t>Primer año</t>
        </is>
      </c>
      <c r="B140" t="inlineStr">
        <is>
          <t>Segundo periodo</t>
        </is>
      </c>
      <c r="C140" t="n">
        <v>69</v>
      </c>
      <c r="D140" t="n">
        <v>138</v>
      </c>
      <c r="E140" s="3" t="n">
        <v>45731</v>
      </c>
      <c r="F140" t="inlineStr">
        <is>
          <t>Punto de Acuerdo</t>
        </is>
      </c>
      <c r="G140" t="inlineStr">
        <is>
          <t>Elección de la mesa directiva</t>
        </is>
      </c>
      <c r="H140" t="n">
        <v>0</v>
      </c>
      <c r="I140" t="inlineStr">
        <is>
          <t>19</t>
        </is>
      </c>
      <c r="J140" t="n">
        <v>37</v>
      </c>
      <c r="K140" t="n">
        <v>0</v>
      </c>
      <c r="L140" t="n">
        <v>0</v>
      </c>
      <c r="M140" t="n">
        <v>4</v>
      </c>
      <c r="N140">
        <f>SUM(J140:M140)</f>
        <v/>
      </c>
      <c r="O140" s="4">
        <f>SUM(J140:L140)/SUM(J140:M140)</f>
        <v/>
      </c>
      <c r="P140" s="5">
        <f>MAX(J140:L140)/SUM(J140:L140)</f>
        <v/>
      </c>
    </row>
    <row r="141">
      <c r="A141" t="inlineStr">
        <is>
          <t>Primer año</t>
        </is>
      </c>
      <c r="B141" t="inlineStr">
        <is>
          <t>Segundo periodo</t>
        </is>
      </c>
      <c r="C141" t="n">
        <v>70</v>
      </c>
      <c r="D141" t="n">
        <v>139</v>
      </c>
      <c r="E141" s="3" t="n">
        <v>45731</v>
      </c>
      <c r="F141" t="inlineStr">
        <is>
          <t>Punto de Acuerdo</t>
        </is>
      </c>
      <c r="G141" t="inlineStr">
        <is>
          <t>Elección de los miembros de la comisión permanente</t>
        </is>
      </c>
      <c r="H141" t="n">
        <v>0</v>
      </c>
      <c r="I141" t="inlineStr">
        <is>
          <t>19</t>
        </is>
      </c>
      <c r="J141" t="n">
        <v>37</v>
      </c>
      <c r="K141" t="n">
        <v>0</v>
      </c>
      <c r="L141" t="n">
        <v>0</v>
      </c>
      <c r="M141" t="n">
        <v>4</v>
      </c>
      <c r="N141">
        <f>SUM(J141:M141)</f>
        <v/>
      </c>
      <c r="O141" s="4">
        <f>SUM(J141:L141)/SUM(J141:M141)</f>
        <v/>
      </c>
      <c r="P141" s="5">
        <f>MAX(J141:L141)/SUM(J141:L141)</f>
        <v/>
      </c>
    </row>
    <row r="142">
      <c r="A142" t="inlineStr">
        <is>
          <t>Primer año</t>
        </is>
      </c>
      <c r="B142" t="inlineStr">
        <is>
          <t>Segundo periodo</t>
        </is>
      </c>
      <c r="C142" t="n">
        <v>71</v>
      </c>
      <c r="D142" t="n">
        <v>140</v>
      </c>
      <c r="E142" s="3" t="n">
        <v>45731</v>
      </c>
      <c r="F142" t="inlineStr">
        <is>
          <t>Iniciativa</t>
        </is>
      </c>
      <c r="G142" t="inlineStr">
        <is>
          <t>Dictamen con minuta de decreto por el cual se autoriza a los doscientos diecisiete municipios del estado para que contraten financiamientos</t>
        </is>
      </c>
      <c r="H142" t="n">
        <v>0</v>
      </c>
      <c r="I142" t="inlineStr">
        <is>
          <t>7</t>
        </is>
      </c>
      <c r="J142" t="n">
        <v>36</v>
      </c>
      <c r="K142" t="n">
        <v>0</v>
      </c>
      <c r="L142" t="n">
        <v>1</v>
      </c>
      <c r="M142" t="n">
        <v>4</v>
      </c>
      <c r="N142">
        <f>SUM(J142:M142)</f>
        <v/>
      </c>
      <c r="O142" s="4">
        <f>SUM(J142:L142)/SUM(J142:M142)</f>
        <v/>
      </c>
      <c r="P142" s="5">
        <f>MAX(J142:L142)/SUM(J142:L142)</f>
        <v/>
      </c>
    </row>
    <row r="143">
      <c r="A143" t="inlineStr">
        <is>
          <t>Primer año</t>
        </is>
      </c>
      <c r="B143" t="inlineStr">
        <is>
          <t>Segundo periodo</t>
        </is>
      </c>
      <c r="C143" t="n">
        <v>72</v>
      </c>
      <c r="D143" t="n">
        <v>141</v>
      </c>
      <c r="E143" s="3" t="n">
        <v>45731</v>
      </c>
      <c r="F143" t="inlineStr">
        <is>
          <t>Iniciativa</t>
        </is>
      </c>
      <c r="G143" t="inlineStr">
        <is>
          <t>Dictamen con minuta de decreto por el cual se autoriza a los 217 municipios del estado para que contraten financiamientos</t>
        </is>
      </c>
      <c r="H143" t="n">
        <v>0</v>
      </c>
      <c r="I143" t="inlineStr">
        <is>
          <t>7</t>
        </is>
      </c>
      <c r="J143" t="n">
        <v>37</v>
      </c>
      <c r="K143" t="n">
        <v>0</v>
      </c>
      <c r="L143" t="n">
        <v>0</v>
      </c>
      <c r="M143" t="n">
        <v>4</v>
      </c>
      <c r="N143">
        <f>SUM(J143:M143)</f>
        <v/>
      </c>
      <c r="O143" s="4">
        <f>SUM(J143:L143)/SUM(J143:M143)</f>
        <v/>
      </c>
      <c r="P143" s="5">
        <f>MAX(J143:L143)/SUM(J143:L143)</f>
        <v/>
      </c>
    </row>
    <row r="144">
      <c r="A144" t="inlineStr">
        <is>
          <t>Primer año</t>
        </is>
      </c>
      <c r="B144" t="inlineStr">
        <is>
          <t>Segundo periodo</t>
        </is>
      </c>
      <c r="C144" t="n">
        <v>73</v>
      </c>
      <c r="D144" t="n">
        <v>142</v>
      </c>
      <c r="E144" s="3" t="n">
        <v>45731</v>
      </c>
      <c r="F144" t="inlineStr">
        <is>
          <t>Iniciativa</t>
        </is>
      </c>
      <c r="G144" t="inlineStr">
        <is>
          <t>Dictamen con minuta de decreto por el cual se reforma el último párrafo del artículo 267 del Código Penal del Estado</t>
        </is>
      </c>
      <c r="H144" t="n">
        <v>0</v>
      </c>
      <c r="I144" t="inlineStr">
        <is>
          <t>14</t>
        </is>
      </c>
      <c r="J144" t="n">
        <v>37</v>
      </c>
      <c r="K144" t="n">
        <v>0</v>
      </c>
      <c r="L144" t="n">
        <v>0</v>
      </c>
      <c r="M144" t="n">
        <v>4</v>
      </c>
      <c r="N144">
        <f>SUM(J144:M144)</f>
        <v/>
      </c>
      <c r="O144" s="4">
        <f>SUM(J144:L144)/SUM(J144:M144)</f>
        <v/>
      </c>
      <c r="P144" s="5">
        <f>MAX(J144:L144)/SUM(J144:L144)</f>
        <v/>
      </c>
    </row>
    <row r="145">
      <c r="A145" t="inlineStr">
        <is>
          <t>Primer año</t>
        </is>
      </c>
      <c r="B145" t="inlineStr">
        <is>
          <t>Segundo periodo</t>
        </is>
      </c>
      <c r="C145" t="n">
        <v>74</v>
      </c>
      <c r="D145" t="n">
        <v>143</v>
      </c>
      <c r="E145" s="3" t="n">
        <v>45731</v>
      </c>
      <c r="F145" t="inlineStr">
        <is>
          <t>Punto de Acuerdo</t>
        </is>
      </c>
      <c r="G145" t="inlineStr">
        <is>
          <t>Acuerdo por el cual se exhorta a la secretaría de agricultura y desarrollo rural para implementar campañas fitosanitarias contra la plaga de Huanglongbing</t>
        </is>
      </c>
      <c r="H145" t="n">
        <v>0</v>
      </c>
      <c r="I145" t="inlineStr">
        <is>
          <t>12</t>
        </is>
      </c>
      <c r="J145" t="n">
        <v>37</v>
      </c>
      <c r="K145" t="n">
        <v>0</v>
      </c>
      <c r="L145" t="n">
        <v>0</v>
      </c>
      <c r="M145" t="n">
        <v>4</v>
      </c>
      <c r="N145">
        <f>SUM(J145:M145)</f>
        <v/>
      </c>
      <c r="O145" s="4">
        <f>SUM(J145:L145)/SUM(J145:M145)</f>
        <v/>
      </c>
      <c r="P145" s="5">
        <f>MAX(J145:L145)/SUM(J145:L145)</f>
        <v/>
      </c>
    </row>
    <row r="146">
      <c r="A146" t="inlineStr">
        <is>
          <t>Primer año</t>
        </is>
      </c>
      <c r="B146" t="inlineStr">
        <is>
          <t>Segundo periodo</t>
        </is>
      </c>
      <c r="C146" t="n">
        <v>75</v>
      </c>
      <c r="D146" t="n">
        <v>144</v>
      </c>
      <c r="E146" s="3" t="n">
        <v>45736</v>
      </c>
      <c r="F146" t="inlineStr">
        <is>
          <t>Punto de Acuerdo</t>
        </is>
      </c>
      <c r="G146" t="inlineStr">
        <is>
          <t>Acuerdo por el cual exhorta a la secretaría de movilidad y transporte del gobierno del estado de, para que implemente campañas de sensibilización y refuerce los mecanismos para la prevención, atención, denuncia y sanción del acoso en el transporte público</t>
        </is>
      </c>
      <c r="H146" t="n">
        <v>11</v>
      </c>
      <c r="I146" t="inlineStr">
        <is>
          <t>Infraestructura, Movilidad y Transporte</t>
        </is>
      </c>
      <c r="J146" t="n">
        <v>8</v>
      </c>
      <c r="K146" t="n">
        <v>0</v>
      </c>
      <c r="L146" t="n">
        <v>0</v>
      </c>
      <c r="M146" t="n">
        <v>33</v>
      </c>
      <c r="N146">
        <f>SUM(J146:M146)</f>
        <v/>
      </c>
      <c r="O146" s="4">
        <f>SUM(J146:L146)/SUM(J146:M146)</f>
        <v/>
      </c>
      <c r="P146" s="5">
        <f>MAX(J146:L146)/SUM(J146:L146)</f>
        <v/>
      </c>
    </row>
    <row r="147">
      <c r="A147" t="inlineStr">
        <is>
          <t>Primer año</t>
        </is>
      </c>
      <c r="B147" t="inlineStr">
        <is>
          <t>Segundo periodo</t>
        </is>
      </c>
      <c r="C147" t="n">
        <v>76</v>
      </c>
      <c r="D147" t="n">
        <v>145</v>
      </c>
      <c r="E147" s="3" t="n">
        <v>45736</v>
      </c>
      <c r="F147" t="inlineStr">
        <is>
          <t>Punto de Acuerdo</t>
        </is>
      </c>
      <c r="G147" t="inlineStr">
        <is>
          <t>Acuerdo por el cual exhorta a las personas titulares de las dependencias y entidades del poder ejecutivo estatal; al poder judicial, así como a los 213 ayuntamientos y los 4 concejos municipales del estado, para que en el marco del día mundial de concienciación sobre el autismo</t>
        </is>
      </c>
      <c r="H147" t="n">
        <v>6</v>
      </c>
      <c r="I147" t="inlineStr">
        <is>
          <t>Salud</t>
        </is>
      </c>
      <c r="J147" t="n">
        <v>8</v>
      </c>
      <c r="K147" t="n">
        <v>0</v>
      </c>
      <c r="L147" t="n">
        <v>0</v>
      </c>
      <c r="M147" t="n">
        <v>33</v>
      </c>
      <c r="N147">
        <f>SUM(J147:M147)</f>
        <v/>
      </c>
      <c r="O147" s="4">
        <f>SUM(J147:L147)/SUM(J147:M147)</f>
        <v/>
      </c>
      <c r="P147" s="5">
        <f>MAX(J147:L147)/SUM(J147:L147)</f>
        <v/>
      </c>
    </row>
    <row r="148">
      <c r="A148" t="inlineStr">
        <is>
          <t>Primer año</t>
        </is>
      </c>
      <c r="B148" t="inlineStr">
        <is>
          <t>Segundo periodo</t>
        </is>
      </c>
      <c r="C148" t="n">
        <v>77</v>
      </c>
      <c r="D148" t="n">
        <v>146</v>
      </c>
      <c r="E148" s="3" t="n">
        <v>45740</v>
      </c>
      <c r="F148" t="inlineStr">
        <is>
          <t>Punto de Acuerdo</t>
        </is>
      </c>
      <c r="G148" t="inlineStr">
        <is>
          <t>Acuerdo por el cual se convoca a una sesión extraordinaria</t>
        </is>
      </c>
      <c r="H148" t="n">
        <v>19</v>
      </c>
      <c r="I148" t="inlineStr">
        <is>
          <t>Internos del Congreso</t>
        </is>
      </c>
      <c r="J148" t="n">
        <v>8</v>
      </c>
      <c r="K148" t="n">
        <v>0</v>
      </c>
      <c r="L148" t="n">
        <v>0</v>
      </c>
      <c r="M148" t="n">
        <v>0</v>
      </c>
      <c r="N148">
        <f>SUM(J148:M148)</f>
        <v/>
      </c>
      <c r="O148" s="4">
        <f>SUM(J148:L148)/SUM(J148:M148)</f>
        <v/>
      </c>
      <c r="P148" s="5">
        <f>MAX(J148:L148)/SUM(J148:L148)</f>
        <v/>
      </c>
    </row>
    <row r="149">
      <c r="A149" t="inlineStr">
        <is>
          <t>Primer año</t>
        </is>
      </c>
      <c r="B149" t="inlineStr">
        <is>
          <t>Segundo periodo</t>
        </is>
      </c>
      <c r="C149" t="n">
        <v>78</v>
      </c>
      <c r="D149" t="n">
        <v>147</v>
      </c>
      <c r="E149" s="3" t="n">
        <v>45741</v>
      </c>
      <c r="F149" t="inlineStr">
        <is>
          <t>Iniciativa</t>
        </is>
      </c>
      <c r="G149" t="inlineStr">
        <is>
          <t>Dictamen con minuta de decreto que presenta la Comisión de Hacienda y Patrimonio Municipal de la Sexagésima Segunda Legislatura del Honorable Congreso del Estado, por el que se reforman las fracciones XXX y XXXI, y se adiciona la fracción XXXII al artículo 58 de la Ley de Ingresos del municipio de, para el ejercicio fiscal 2025</t>
        </is>
      </c>
      <c r="H149" t="n">
        <v>7</v>
      </c>
      <c r="I149" t="inlineStr">
        <is>
          <t>Impuestos, Finanzas Públicas, Patrimonio estatal y municipal</t>
        </is>
      </c>
      <c r="J149" t="n">
        <v>31</v>
      </c>
      <c r="K149" t="n">
        <v>5</v>
      </c>
      <c r="L149" t="n">
        <v>1</v>
      </c>
      <c r="M149" t="n">
        <v>4</v>
      </c>
      <c r="N149">
        <f>SUM(J149:M149)</f>
        <v/>
      </c>
      <c r="O149" s="4">
        <f>SUM(J149:L149)/SUM(J149:M149)</f>
        <v/>
      </c>
      <c r="P149" s="5">
        <f>MAX(J149:L149)/SUM(J149:L149)</f>
        <v/>
      </c>
    </row>
    <row r="150">
      <c r="A150" t="inlineStr">
        <is>
          <t>Primer año</t>
        </is>
      </c>
      <c r="B150" t="inlineStr">
        <is>
          <t>Segundo periodo</t>
        </is>
      </c>
      <c r="C150" t="n">
        <v>79</v>
      </c>
      <c r="D150" t="n">
        <v>148</v>
      </c>
      <c r="E150" s="3" t="n">
        <v>45741</v>
      </c>
      <c r="F150" t="inlineStr">
        <is>
          <t>Iniciativa</t>
        </is>
      </c>
      <c r="G150" t="inlineStr">
        <is>
          <t>Dictamen con minuta Proyecto de decreto por el cual se reforman el párrafo décimo del artículo 25 y la fracción XXIX-Y del artículo 73 de la Constitución Política de los, en materia de simplificación administrativa y digitalización</t>
        </is>
      </c>
      <c r="H150" t="n">
        <v>18</v>
      </c>
      <c r="I150" t="inlineStr">
        <is>
          <t>Administración Pública</t>
        </is>
      </c>
      <c r="J150" t="n">
        <v>41</v>
      </c>
      <c r="K150" t="n">
        <v>0</v>
      </c>
      <c r="L150" t="n">
        <v>0</v>
      </c>
      <c r="M150" t="n">
        <v>0</v>
      </c>
      <c r="N150">
        <f>SUM(J150:M150)</f>
        <v/>
      </c>
      <c r="O150" s="4">
        <f>SUM(J150:L150)/SUM(J150:M150)</f>
        <v/>
      </c>
      <c r="P150" s="5">
        <f>MAX(J150:L150)/SUM(J150:L150)</f>
        <v/>
      </c>
    </row>
    <row r="151">
      <c r="A151" t="inlineStr">
        <is>
          <t>Primer año</t>
        </is>
      </c>
      <c r="B151" t="inlineStr">
        <is>
          <t>Segundo periodo</t>
        </is>
      </c>
      <c r="C151" t="n">
        <v>80</v>
      </c>
      <c r="D151" t="n">
        <v>149</v>
      </c>
      <c r="E151" s="3" t="n">
        <v>45750</v>
      </c>
      <c r="F151" t="inlineStr">
        <is>
          <t>Punto de Acuerdo</t>
        </is>
      </c>
      <c r="G151" t="inlineStr">
        <is>
          <t>Acuerdo por el cual</t>
        </is>
      </c>
      <c r="H151" t="n">
        <v>18</v>
      </c>
      <c r="I151" t="inlineStr">
        <is>
          <t>Administración Pública</t>
        </is>
      </c>
      <c r="J151" t="n">
        <v>9</v>
      </c>
      <c r="K151" t="n">
        <v>0</v>
      </c>
      <c r="L151" t="n">
        <v>0</v>
      </c>
      <c r="M151" t="n">
        <v>0</v>
      </c>
      <c r="N151">
        <f>SUM(J151:M151)</f>
        <v/>
      </c>
      <c r="O151" s="4">
        <f>SUM(J151:L151)/SUM(J151:M151)</f>
        <v/>
      </c>
      <c r="P151" s="5">
        <f>MAX(J151:L151)/SUM(J151:L151)</f>
        <v/>
      </c>
    </row>
    <row r="152">
      <c r="A152" t="inlineStr">
        <is>
          <t>Primer año</t>
        </is>
      </c>
      <c r="B152" t="inlineStr">
        <is>
          <t>Segundo periodo</t>
        </is>
      </c>
      <c r="C152" t="n">
        <v>81</v>
      </c>
      <c r="D152" t="n">
        <v>150</v>
      </c>
      <c r="E152" s="3" t="n">
        <v>45750</v>
      </c>
      <c r="F152" t="inlineStr">
        <is>
          <t>Punto de Acuerdo</t>
        </is>
      </c>
      <c r="G152" t="inlineStr">
        <is>
          <t xml:space="preserve">Acuerdo por el que se exhorta </t>
        </is>
      </c>
      <c r="H152" t="n">
        <v>16</v>
      </c>
      <c r="I152" t="inlineStr">
        <is>
          <t>Trabajo y Previsión Social</t>
        </is>
      </c>
      <c r="J152" t="n">
        <v>9</v>
      </c>
      <c r="K152" t="n">
        <v>0</v>
      </c>
      <c r="L152" t="n">
        <v>0</v>
      </c>
      <c r="M152" t="n">
        <v>0</v>
      </c>
      <c r="N152">
        <f>SUM(J152:M152)</f>
        <v/>
      </c>
      <c r="O152" s="4">
        <f>SUM(J152:L152)/SUM(J152:M152)</f>
        <v/>
      </c>
      <c r="P152" s="5">
        <f>MAX(J152:L152)/SUM(J152:L152)</f>
        <v/>
      </c>
    </row>
    <row r="153">
      <c r="A153" t="inlineStr">
        <is>
          <t>Primer año</t>
        </is>
      </c>
      <c r="B153" t="inlineStr">
        <is>
          <t>Segundo periodo</t>
        </is>
      </c>
      <c r="C153" t="n">
        <v>82</v>
      </c>
      <c r="D153" t="n">
        <v>151</v>
      </c>
      <c r="E153" s="3" t="n">
        <v>45754</v>
      </c>
      <c r="F153" t="inlineStr">
        <is>
          <t>Punto de Acuerdo</t>
        </is>
      </c>
      <c r="G153" t="inlineStr">
        <is>
          <t>Acuerdo por el que se convoca a una sesión extraordinaria</t>
        </is>
      </c>
      <c r="H153" t="n">
        <v>19</v>
      </c>
      <c r="I153" t="inlineStr">
        <is>
          <t>Internos del Congreso</t>
        </is>
      </c>
      <c r="J153" t="n">
        <v>9</v>
      </c>
      <c r="K153" t="n">
        <v>0</v>
      </c>
      <c r="L153" t="n">
        <v>0</v>
      </c>
      <c r="M153" t="n">
        <v>0</v>
      </c>
      <c r="N153">
        <f>SUM(J153:M153)</f>
        <v/>
      </c>
      <c r="O153" s="4">
        <f>SUM(J153:L153)/SUM(J153:M153)</f>
        <v/>
      </c>
      <c r="P153" s="5">
        <f>MAX(J153:L153)/SUM(J153:L153)</f>
        <v/>
      </c>
    </row>
    <row r="154">
      <c r="A154" t="inlineStr">
        <is>
          <t>Primer año</t>
        </is>
      </c>
      <c r="B154" t="inlineStr">
        <is>
          <t>Segundo periodo</t>
        </is>
      </c>
      <c r="C154" t="n">
        <v>83</v>
      </c>
      <c r="D154" t="n">
        <v>152</v>
      </c>
      <c r="E154" s="3" t="n">
        <v>45754</v>
      </c>
      <c r="F154" t="inlineStr">
        <is>
          <t>Iniciativa</t>
        </is>
      </c>
      <c r="G154" t="inlineStr">
        <is>
          <t>Dictamen con minuta de decreto que presenta la Comisión de Gobernación y Puntos Constitucionales</t>
        </is>
      </c>
      <c r="H154" t="n">
        <v>18</v>
      </c>
      <c r="I154" t="inlineStr">
        <is>
          <t>Administración Pública</t>
        </is>
      </c>
      <c r="J154" t="n">
        <v>37</v>
      </c>
      <c r="K154" t="n">
        <v>0</v>
      </c>
      <c r="L154" t="n">
        <v>0</v>
      </c>
      <c r="M154" t="n">
        <v>4</v>
      </c>
      <c r="N154">
        <f>SUM(J154:M154)</f>
        <v/>
      </c>
      <c r="O154" s="4">
        <f>SUM(J154:L154)/SUM(J154:M154)</f>
        <v/>
      </c>
      <c r="P154" s="5">
        <f>MAX(J154:L154)/SUM(J154:L154)</f>
        <v/>
      </c>
    </row>
    <row r="155">
      <c r="A155" t="inlineStr">
        <is>
          <t>Primer año</t>
        </is>
      </c>
      <c r="B155" t="inlineStr">
        <is>
          <t>Segundo periodo</t>
        </is>
      </c>
      <c r="C155" t="n">
        <v>84</v>
      </c>
      <c r="D155" t="n">
        <v>153</v>
      </c>
      <c r="E155" s="3" t="n">
        <v>45757</v>
      </c>
      <c r="F155" t="inlineStr">
        <is>
          <t>Punto de Acuerdo</t>
        </is>
      </c>
      <c r="G155" t="inlineStr">
        <is>
          <t>Acuerdo por el cual se exhorta a la Secretaría de Arte y Cultura del estado, para que en coordinación con los doscientos trece ayuntamientos y cuatro concejos municipales impulsen la creación y fortalecimiento de casas de cultura, museos comunitarios y/o ludotecas en sus municipios y juntas auxiliares</t>
        </is>
      </c>
      <c r="H155" t="n">
        <v>8</v>
      </c>
      <c r="I155" t="inlineStr">
        <is>
          <t>Educación y Cultura</t>
        </is>
      </c>
      <c r="J155" t="n">
        <v>7</v>
      </c>
      <c r="K155" t="n">
        <v>0</v>
      </c>
      <c r="L155" t="n">
        <v>0</v>
      </c>
      <c r="M155" t="n">
        <v>0</v>
      </c>
      <c r="N155">
        <f>SUM(J155:M155)</f>
        <v/>
      </c>
      <c r="O155" s="4">
        <f>SUM(J155:L155)/SUM(J155:M155)</f>
        <v/>
      </c>
      <c r="P155" s="5">
        <f>MAX(J155:L155)/SUM(J155:L155)</f>
        <v/>
      </c>
    </row>
    <row r="156">
      <c r="A156" t="inlineStr">
        <is>
          <t>Primer año</t>
        </is>
      </c>
      <c r="B156" t="inlineStr">
        <is>
          <t>Segundo periodo</t>
        </is>
      </c>
      <c r="C156" t="n">
        <v>85</v>
      </c>
      <c r="D156" t="n">
        <v>154</v>
      </c>
      <c r="E156" s="3" t="n">
        <v>45771</v>
      </c>
      <c r="F156" t="inlineStr">
        <is>
          <t>Punto de Acuerdo</t>
        </is>
      </c>
      <c r="G156" t="inlineStr">
        <is>
          <t>Acuerdo por el que se exhorta a los diecinueve ayuntamientos de la zona metropolitana del estado de Puebla, para que en el ámbito de sus atribuciones y en coordinación con las autoridades competentes supervisen e inspeccionen bares, cantinas, hoteles de paso, centros nocturnos, agencias de modelaje o artísticas, salas de masajes, cines y baños públicos, para detectar, prevenir y denunciar en su caso la comisión de delitos dentro de los mismos, en particular el de trata de personas</t>
        </is>
      </c>
      <c r="H156" t="n">
        <v>3</v>
      </c>
      <c r="I156" t="inlineStr">
        <is>
          <t>Seguridad Pública, Protección Civil y Narcotráfico</t>
        </is>
      </c>
      <c r="J156" t="n">
        <v>9</v>
      </c>
      <c r="K156" t="n">
        <v>0</v>
      </c>
      <c r="L156" t="n">
        <v>0</v>
      </c>
      <c r="M156" t="n">
        <v>0</v>
      </c>
      <c r="N156">
        <f>SUM(J156:M156)</f>
        <v/>
      </c>
      <c r="O156" s="4">
        <f>SUM(J156:L156)/SUM(J156:M156)</f>
        <v/>
      </c>
      <c r="P156" s="5">
        <f>MAX(J156:L156)/SUM(J156:L156)</f>
        <v/>
      </c>
    </row>
    <row r="157">
      <c r="A157" t="inlineStr">
        <is>
          <t>Primer año</t>
        </is>
      </c>
      <c r="B157" t="inlineStr">
        <is>
          <t>Segundo periodo</t>
        </is>
      </c>
      <c r="C157" t="n">
        <v>86</v>
      </c>
      <c r="D157" t="n">
        <v>155</v>
      </c>
      <c r="E157" s="3" t="n">
        <v>45771</v>
      </c>
      <c r="F157" t="inlineStr">
        <is>
          <t>Punto de Acuerdo</t>
        </is>
      </c>
      <c r="G157" t="inlineStr">
        <is>
          <t>Acuerdo por el que se exhorta a los diecinueve ayuntamientos de la zona metropolitana del estado de Puebla para que, de manera coordinada y de considerarlo, acuerden la creación y funcionamiento de un observatorio metropolitano de seguridad pública y combate a la violencia social</t>
        </is>
      </c>
      <c r="H157" t="n">
        <v>3</v>
      </c>
      <c r="I157" t="inlineStr">
        <is>
          <t>Seguridad Pública, Protección Civil y Narcotráfico</t>
        </is>
      </c>
      <c r="J157" t="n">
        <v>9</v>
      </c>
      <c r="K157" t="n">
        <v>0</v>
      </c>
      <c r="L157" t="n">
        <v>0</v>
      </c>
      <c r="M157" t="n">
        <v>0</v>
      </c>
      <c r="N157">
        <f>SUM(J157:M157)</f>
        <v/>
      </c>
      <c r="O157" s="4">
        <f>SUM(J157:L157)/SUM(J157:M157)</f>
        <v/>
      </c>
      <c r="P157" s="5">
        <f>MAX(J157:L157)/SUM(J157:L157)</f>
        <v/>
      </c>
    </row>
    <row r="158">
      <c r="A158" t="inlineStr">
        <is>
          <t>Primer año</t>
        </is>
      </c>
      <c r="B158" t="inlineStr">
        <is>
          <t>Segundo periodo</t>
        </is>
      </c>
      <c r="C158" t="n">
        <v>87</v>
      </c>
      <c r="D158" t="n">
        <v>156</v>
      </c>
      <c r="E158" s="3" t="n">
        <v>45771</v>
      </c>
      <c r="F158" t="inlineStr">
        <is>
          <t>Punto de Acuerdo</t>
        </is>
      </c>
      <c r="G158" t="inlineStr">
        <is>
          <t>Acuerdo por el cual se exhorta de manera respetuosa a la delegación del Instituto del Fondo Nacional de Vivienda para los Trabajadores (INFONAVIT), para que en el ámbito de su competencia, implemente ferias, campañas, eventos y/o jornadas ciudadanas en los doscientos diecisiete municipios del estado</t>
        </is>
      </c>
      <c r="H158" t="n">
        <v>2</v>
      </c>
      <c r="I158" t="inlineStr">
        <is>
          <t>Pobreza y Política Social</t>
        </is>
      </c>
      <c r="J158" t="n">
        <v>9</v>
      </c>
      <c r="K158" t="n">
        <v>0</v>
      </c>
      <c r="L158" t="n">
        <v>0</v>
      </c>
      <c r="M158" t="n">
        <v>0</v>
      </c>
      <c r="N158">
        <f>SUM(J158:M158)</f>
        <v/>
      </c>
      <c r="O158" s="4">
        <f>SUM(J158:L158)/SUM(J158:M158)</f>
        <v/>
      </c>
      <c r="P158" s="5">
        <f>MAX(J158:L158)/SUM(J158:L158)</f>
        <v/>
      </c>
    </row>
    <row r="159">
      <c r="A159" t="inlineStr">
        <is>
          <t>Primer año</t>
        </is>
      </c>
      <c r="B159" t="inlineStr">
        <is>
          <t>Segundo periodo</t>
        </is>
      </c>
      <c r="C159" t="n">
        <v>88</v>
      </c>
      <c r="D159" t="n">
        <v>157</v>
      </c>
      <c r="E159" s="3" t="n">
        <v>45777</v>
      </c>
      <c r="F159" t="inlineStr">
        <is>
          <t>Punto de Acuerdo</t>
        </is>
      </c>
      <c r="G159" t="inlineStr">
        <is>
          <t>Acuerdo por el cual exhorta a los doscientos doce ayuntamientos y cinco concejos municipales del estado de Puebla a llevar a cabo acciones de protección a la salud, prevención y control de la contaminación ambiental mediante cultura de separación de residuos.</t>
        </is>
      </c>
      <c r="H159" t="n">
        <v>5</v>
      </c>
      <c r="I159" t="inlineStr">
        <is>
          <t>Medio Ambiente</t>
        </is>
      </c>
      <c r="J159" t="n">
        <v>8</v>
      </c>
      <c r="K159" t="n">
        <v>0</v>
      </c>
      <c r="L159" t="n">
        <v>0</v>
      </c>
      <c r="M159" t="n">
        <v>33</v>
      </c>
      <c r="N159">
        <f>SUM(J159:M159)</f>
        <v/>
      </c>
      <c r="O159" s="4">
        <f>SUM(J159:L159)/SUM(J159:M159)</f>
        <v/>
      </c>
      <c r="P159" s="5">
        <f>MAX(J159:L159)/SUM(J159:L159)</f>
        <v/>
      </c>
    </row>
    <row r="160">
      <c r="A160" t="inlineStr">
        <is>
          <t>Primer año</t>
        </is>
      </c>
      <c r="B160" t="inlineStr">
        <is>
          <t>Segundo periodo</t>
        </is>
      </c>
      <c r="C160" t="n">
        <v>89</v>
      </c>
      <c r="D160" t="n">
        <v>158</v>
      </c>
      <c r="E160" s="3" t="n">
        <v>45777</v>
      </c>
      <c r="F160" t="inlineStr">
        <is>
          <t>Punto de Acuerdo</t>
        </is>
      </c>
      <c r="G160" t="inlineStr">
        <is>
          <t>Acuerdo por el cual exhorta a los ayuntamientos y concejos municipales a promover que los comités de agua potable cumplan con lineamientos de rendición de cuentas.</t>
        </is>
      </c>
      <c r="H160" t="n">
        <v>10</v>
      </c>
      <c r="I160" t="inlineStr">
        <is>
          <t>Transparencia y Rendición de Cuentas</t>
        </is>
      </c>
      <c r="J160" t="n">
        <v>8</v>
      </c>
      <c r="K160" t="n">
        <v>0</v>
      </c>
      <c r="L160" t="n">
        <v>0</v>
      </c>
      <c r="M160" t="n">
        <v>33</v>
      </c>
      <c r="N160">
        <f>SUM(J160:M160)</f>
        <v/>
      </c>
      <c r="O160" s="4">
        <f>SUM(J160:L160)/SUM(J160:M160)</f>
        <v/>
      </c>
      <c r="P160" s="5">
        <f>MAX(J160:L160)/SUM(J160:L160)</f>
        <v/>
      </c>
    </row>
    <row r="161">
      <c r="A161" t="inlineStr">
        <is>
          <t>Primer año</t>
        </is>
      </c>
      <c r="B161" t="inlineStr">
        <is>
          <t>Segundo periodo</t>
        </is>
      </c>
      <c r="C161" t="n">
        <v>90</v>
      </c>
      <c r="D161" t="n">
        <v>159</v>
      </c>
      <c r="E161" s="3" t="n">
        <v>45777</v>
      </c>
      <c r="F161" t="inlineStr">
        <is>
          <t>Punto de Acuerdo</t>
        </is>
      </c>
      <c r="G161" t="inlineStr">
        <is>
          <t>Acuerdo por el cual exhorta a los ayuntamientos y concejos municipales a formular y aprobar sus programas municipales de turismo con enfoque participativo y sostenible.</t>
        </is>
      </c>
      <c r="H161" t="n">
        <v>1</v>
      </c>
      <c r="I161" t="inlineStr">
        <is>
          <t>Economía, Comercio y Competitividad</t>
        </is>
      </c>
      <c r="J161" t="n">
        <v>8</v>
      </c>
      <c r="K161" t="n">
        <v>0</v>
      </c>
      <c r="L161" t="n">
        <v>0</v>
      </c>
      <c r="M161" t="n">
        <v>33</v>
      </c>
      <c r="N161">
        <f>SUM(J161:M161)</f>
        <v/>
      </c>
      <c r="O161" s="4">
        <f>SUM(J161:L161)/SUM(J161:M161)</f>
        <v/>
      </c>
      <c r="P161" s="5">
        <f>MAX(J161:L161)/SUM(J161:L161)</f>
        <v/>
      </c>
    </row>
    <row r="162">
      <c r="A162" t="inlineStr">
        <is>
          <t>Primer año</t>
        </is>
      </c>
      <c r="B162" t="inlineStr">
        <is>
          <t>Segundo periodo</t>
        </is>
      </c>
      <c r="C162" t="n">
        <v>91</v>
      </c>
      <c r="D162" t="n">
        <v>160</v>
      </c>
      <c r="E162" s="3" t="n">
        <v>45777</v>
      </c>
      <c r="F162" t="inlineStr">
        <is>
          <t>Punto de Acuerdo</t>
        </is>
      </c>
      <c r="G162" t="inlineStr">
        <is>
          <t>Acuerdo por el cual exhorta a los ayuntamientos y concejos municipales a cumplir con la adecuada recolección, transporte y disposición de residuos sólidos urbanos.</t>
        </is>
      </c>
      <c r="H162" t="n">
        <v>5</v>
      </c>
      <c r="I162" t="inlineStr">
        <is>
          <t>Medio Ambiente</t>
        </is>
      </c>
      <c r="J162" t="n">
        <v>8</v>
      </c>
      <c r="K162" t="n">
        <v>0</v>
      </c>
      <c r="L162" t="n">
        <v>0</v>
      </c>
      <c r="M162" t="n">
        <v>33</v>
      </c>
      <c r="N162">
        <f>SUM(J162:M162)</f>
        <v/>
      </c>
      <c r="O162" s="4">
        <f>SUM(J162:L162)/SUM(J162:M162)</f>
        <v/>
      </c>
      <c r="P162" s="5">
        <f>MAX(J162:L162)/SUM(J162:L162)</f>
        <v/>
      </c>
    </row>
    <row r="163">
      <c r="A163" t="inlineStr">
        <is>
          <t>Primer año</t>
        </is>
      </c>
      <c r="B163" t="inlineStr">
        <is>
          <t>Segundo periodo</t>
        </is>
      </c>
      <c r="C163" t="n">
        <v>92</v>
      </c>
      <c r="D163" t="n">
        <v>161</v>
      </c>
      <c r="E163" s="3" t="n">
        <v>45777</v>
      </c>
      <c r="F163" t="inlineStr">
        <is>
          <t>Punto de Acuerdo</t>
        </is>
      </c>
      <c r="G163" t="inlineStr">
        <is>
          <t>Acuerdo por el cual exhorta a los ayuntamientos y concejos municipales a atender denuncias por violencia de género y violencia política, e implementar capacitaciones.</t>
        </is>
      </c>
      <c r="H163" t="n">
        <v>20</v>
      </c>
      <c r="I163" t="inlineStr">
        <is>
          <t>Justicia y Estado de Derecho en temas de Mujeres</t>
        </is>
      </c>
      <c r="J163" t="n">
        <v>8</v>
      </c>
      <c r="K163" t="n">
        <v>0</v>
      </c>
      <c r="L163" t="n">
        <v>0</v>
      </c>
      <c r="M163" t="n">
        <v>33</v>
      </c>
      <c r="N163">
        <f>SUM(J163:M163)</f>
        <v/>
      </c>
      <c r="O163" s="4">
        <f>SUM(J163:L163)/SUM(J163:M163)</f>
        <v/>
      </c>
      <c r="P163" s="5">
        <f>MAX(J163:L163)/SUM(J163:L163)</f>
        <v/>
      </c>
    </row>
    <row r="164">
      <c r="A164" t="inlineStr">
        <is>
          <t>Primer año</t>
        </is>
      </c>
      <c r="B164" t="inlineStr">
        <is>
          <t>Segundo periodo</t>
        </is>
      </c>
      <c r="C164" t="n">
        <v>93</v>
      </c>
      <c r="D164" t="n">
        <v>162</v>
      </c>
      <c r="E164" s="3" t="n">
        <v>45777</v>
      </c>
      <c r="F164" t="inlineStr">
        <is>
          <t>Punto de Acuerdo</t>
        </is>
      </c>
      <c r="G164" t="inlineStr">
        <is>
          <t>Acuerdo por el cual exhorta a los ayuntamientos y concejos municipales a convocar e instalar sus consejos de participación ciudadana.</t>
        </is>
      </c>
      <c r="H164" t="n">
        <v>18</v>
      </c>
      <c r="I164" t="inlineStr">
        <is>
          <t>Administración Pública</t>
        </is>
      </c>
      <c r="J164" t="n">
        <v>8</v>
      </c>
      <c r="K164" t="n">
        <v>0</v>
      </c>
      <c r="L164" t="n">
        <v>0</v>
      </c>
      <c r="M164" t="n">
        <v>33</v>
      </c>
      <c r="N164">
        <f>SUM(J164:M164)</f>
        <v/>
      </c>
      <c r="O164" s="4">
        <f>SUM(J164:L164)/SUM(J164:M164)</f>
        <v/>
      </c>
      <c r="P164" s="5">
        <f>MAX(J164:L164)/SUM(J164:L164)</f>
        <v/>
      </c>
    </row>
    <row r="165">
      <c r="A165" t="inlineStr">
        <is>
          <t>Primer año</t>
        </is>
      </c>
      <c r="B165" t="inlineStr">
        <is>
          <t>Segundo periodo</t>
        </is>
      </c>
      <c r="C165" t="n">
        <v>94</v>
      </c>
      <c r="D165" t="n">
        <v>163</v>
      </c>
      <c r="E165" s="3" t="n">
        <v>45777</v>
      </c>
      <c r="F165" t="inlineStr">
        <is>
          <t>Punto de Acuerdo</t>
        </is>
      </c>
      <c r="G165" t="inlineStr">
        <is>
          <t>Acuerdo por el cual exhorta a los ayuntamientos y concejos municipales a implementar acciones para promover la cultura de respeto y bienestar animal.</t>
        </is>
      </c>
      <c r="H165" t="n">
        <v>5</v>
      </c>
      <c r="I165" t="inlineStr">
        <is>
          <t>Medio Ambiente</t>
        </is>
      </c>
      <c r="J165" t="n">
        <v>9</v>
      </c>
      <c r="K165" t="n">
        <v>0</v>
      </c>
      <c r="L165" t="n">
        <v>0</v>
      </c>
      <c r="M165" t="n">
        <v>32</v>
      </c>
      <c r="N165">
        <f>SUM(J165:M165)</f>
        <v/>
      </c>
      <c r="O165" s="4">
        <f>SUM(J165:L165)/SUM(J165:M165)</f>
        <v/>
      </c>
      <c r="P165" s="5">
        <f>MAX(J165:L165)/SUM(J165:L165)</f>
        <v/>
      </c>
    </row>
    <row r="166">
      <c r="A166" t="inlineStr">
        <is>
          <t>Primer año</t>
        </is>
      </c>
      <c r="B166" t="inlineStr">
        <is>
          <t>Segundo periodo</t>
        </is>
      </c>
      <c r="C166" t="n">
        <v>95</v>
      </c>
      <c r="D166" t="n">
        <v>164</v>
      </c>
      <c r="E166" s="3" t="n">
        <v>45777</v>
      </c>
      <c r="F166" t="inlineStr">
        <is>
          <t>Punto de Acuerdo</t>
        </is>
      </c>
      <c r="G166" t="inlineStr">
        <is>
          <t>Acuerdo por el cual exhorta a la secretaría de movilidad y transporte y a los ayuntamientos a implementar programas de cultura de civilidad vial.</t>
        </is>
      </c>
      <c r="H166" t="n">
        <v>11</v>
      </c>
      <c r="I166" t="inlineStr">
        <is>
          <t>Infraestructura, Movilidad y Transporte</t>
        </is>
      </c>
      <c r="J166" t="n">
        <v>9</v>
      </c>
      <c r="K166" t="n">
        <v>0</v>
      </c>
      <c r="L166" t="n">
        <v>0</v>
      </c>
      <c r="M166" t="n">
        <v>32</v>
      </c>
      <c r="N166">
        <f>SUM(J166:M166)</f>
        <v/>
      </c>
      <c r="O166" s="4">
        <f>SUM(J166:L166)/SUM(J166:M166)</f>
        <v/>
      </c>
      <c r="P166" s="5">
        <f>MAX(J166:L166)/SUM(J166:L166)</f>
        <v/>
      </c>
    </row>
    <row r="167">
      <c r="A167" t="inlineStr">
        <is>
          <t>Primer año</t>
        </is>
      </c>
      <c r="B167" t="inlineStr">
        <is>
          <t>Segundo periodo</t>
        </is>
      </c>
      <c r="C167" t="n">
        <v>96</v>
      </c>
      <c r="D167" t="n">
        <v>165</v>
      </c>
      <c r="E167" s="3" t="n">
        <v>45777</v>
      </c>
      <c r="F167" t="inlineStr">
        <is>
          <t>Punto de Acuerdo</t>
        </is>
      </c>
      <c r="G167" t="inlineStr">
        <is>
          <t>Acuerdo por el cual se aprueba la solicitud de retiro de un punto del orden del día.</t>
        </is>
      </c>
      <c r="H167" t="n">
        <v>19</v>
      </c>
      <c r="I167" t="inlineStr">
        <is>
          <t>Internos del Congreso</t>
        </is>
      </c>
      <c r="J167" t="n">
        <v>8</v>
      </c>
      <c r="K167" t="n">
        <v>0</v>
      </c>
      <c r="L167" t="n">
        <v>0</v>
      </c>
      <c r="M167" t="n">
        <v>33</v>
      </c>
      <c r="N167">
        <f>SUM(J167:M167)</f>
        <v/>
      </c>
      <c r="O167" s="4">
        <f>SUM(J167:L167)/SUM(J167:M167)</f>
        <v/>
      </c>
      <c r="P167" s="5">
        <f>MAX(J167:L167)/SUM(J167:L167)</f>
        <v/>
      </c>
    </row>
    <row r="168">
      <c r="A168" t="inlineStr">
        <is>
          <t>Primer año</t>
        </is>
      </c>
      <c r="B168" t="inlineStr">
        <is>
          <t>Segundo periodo</t>
        </is>
      </c>
      <c r="C168" t="n">
        <v>97</v>
      </c>
      <c r="D168" t="n">
        <v>166</v>
      </c>
      <c r="E168" s="3" t="n">
        <v>45785</v>
      </c>
      <c r="F168" t="inlineStr">
        <is>
          <t>Punto de Acuerdo</t>
        </is>
      </c>
      <c r="G168" t="inlineStr">
        <is>
          <t>Acuerdo por el cual exhorta a la Fiscalía General del Estado, a la Secretaría de Seguridad Pública y a los ayuntamientos a implementar acciones preventivas contra fraudes</t>
        </is>
      </c>
      <c r="H168" t="n">
        <v>3</v>
      </c>
      <c r="I168" t="inlineStr">
        <is>
          <t>Seguridad Pública, Protección Civil y Narcotráfico</t>
        </is>
      </c>
      <c r="J168" t="n">
        <v>7</v>
      </c>
      <c r="K168" t="n">
        <v>0</v>
      </c>
      <c r="L168" t="n">
        <v>0</v>
      </c>
      <c r="M168" t="n">
        <v>34</v>
      </c>
      <c r="N168">
        <f>SUM(J168:M168)</f>
        <v/>
      </c>
      <c r="O168" s="4">
        <f>SUM(J168:L168)/SUM(J168:M168)</f>
        <v/>
      </c>
      <c r="P168" s="5">
        <f>MAX(J168:L168)/SUM(J168:L168)</f>
        <v/>
      </c>
    </row>
    <row r="169">
      <c r="A169" t="inlineStr">
        <is>
          <t>Primer año</t>
        </is>
      </c>
      <c r="B169" t="inlineStr">
        <is>
          <t>Segundo periodo</t>
        </is>
      </c>
      <c r="C169" t="n">
        <v>98</v>
      </c>
      <c r="D169" t="n">
        <v>167</v>
      </c>
      <c r="E169" s="3" t="n">
        <v>45785</v>
      </c>
      <c r="F169" t="inlineStr">
        <is>
          <t>Punto de Acuerdo</t>
        </is>
      </c>
      <c r="G169" t="inlineStr">
        <is>
          <t>Acuerdo por el cual exhorta a la Secretaría de Salud para informar a mujeres embarazadas sobre beneficios y manejo de la lactancia materna</t>
        </is>
      </c>
      <c r="H169" t="n">
        <v>6</v>
      </c>
      <c r="I169" t="inlineStr">
        <is>
          <t>Salud</t>
        </is>
      </c>
      <c r="J169" t="n">
        <v>7</v>
      </c>
      <c r="K169" t="n">
        <v>0</v>
      </c>
      <c r="L169" t="n">
        <v>0</v>
      </c>
      <c r="M169" t="n">
        <v>34</v>
      </c>
      <c r="N169">
        <f>SUM(J169:M169)</f>
        <v/>
      </c>
      <c r="O169" s="4">
        <f>SUM(J169:L169)/SUM(J169:M169)</f>
        <v/>
      </c>
      <c r="P169" s="5">
        <f>MAX(J169:L169)/SUM(J169:L169)</f>
        <v/>
      </c>
    </row>
    <row r="170">
      <c r="A170" t="inlineStr">
        <is>
          <t>Primer año</t>
        </is>
      </c>
      <c r="B170" t="inlineStr">
        <is>
          <t>Segundo periodo</t>
        </is>
      </c>
      <c r="C170" t="n">
        <v>99</v>
      </c>
      <c r="D170" t="n">
        <v>168</v>
      </c>
      <c r="E170" s="3" t="n">
        <v>45785</v>
      </c>
      <c r="F170" t="inlineStr">
        <is>
          <t>Punto de Acuerdo</t>
        </is>
      </c>
      <c r="G170" t="inlineStr">
        <is>
          <t>Acuerdo por el cual exhorta a la Secretaría de Educación a implementar acciones de activación física en educación inicial y preescolar</t>
        </is>
      </c>
      <c r="H170" t="n">
        <v>8</v>
      </c>
      <c r="I170" t="inlineStr">
        <is>
          <t>Educación y Cultura</t>
        </is>
      </c>
      <c r="J170" t="n">
        <v>7</v>
      </c>
      <c r="K170" t="n">
        <v>0</v>
      </c>
      <c r="L170" t="n">
        <v>0</v>
      </c>
      <c r="M170" t="n">
        <v>34</v>
      </c>
      <c r="N170">
        <f>SUM(J170:M170)</f>
        <v/>
      </c>
      <c r="O170" s="4">
        <f>SUM(J170:L170)/SUM(J170:M170)</f>
        <v/>
      </c>
      <c r="P170" s="5">
        <f>MAX(J170:L170)/SUM(J170:L170)</f>
        <v/>
      </c>
    </row>
    <row r="171">
      <c r="A171" t="inlineStr">
        <is>
          <t>Primer año</t>
        </is>
      </c>
      <c r="B171" t="inlineStr">
        <is>
          <t>Segundo periodo</t>
        </is>
      </c>
      <c r="C171" t="n">
        <v>100</v>
      </c>
      <c r="D171" t="n">
        <v>169</v>
      </c>
      <c r="E171" s="3" t="n">
        <v>45785</v>
      </c>
      <c r="F171" t="inlineStr">
        <is>
          <t>Punto de Acuerdo</t>
        </is>
      </c>
      <c r="G171" t="inlineStr">
        <is>
          <t>Acuerdo por el cual exhorta a la Secretaría de Educación para revisar políticas y prácticas de inclusión en educación superior</t>
        </is>
      </c>
      <c r="H171" t="n">
        <v>8</v>
      </c>
      <c r="I171" t="inlineStr">
        <is>
          <t>Educación y Cultura</t>
        </is>
      </c>
      <c r="J171" t="n">
        <v>7</v>
      </c>
      <c r="K171" t="n">
        <v>0</v>
      </c>
      <c r="L171" t="n">
        <v>0</v>
      </c>
      <c r="M171" t="n">
        <v>34</v>
      </c>
      <c r="N171">
        <f>SUM(J171:M171)</f>
        <v/>
      </c>
      <c r="O171" s="4">
        <f>SUM(J171:L171)/SUM(J171:M171)</f>
        <v/>
      </c>
      <c r="P171" s="5">
        <f>MAX(J171:L171)/SUM(J171:L171)</f>
        <v/>
      </c>
    </row>
    <row r="172">
      <c r="A172" t="inlineStr">
        <is>
          <t>Primer año</t>
        </is>
      </c>
      <c r="B172" t="inlineStr">
        <is>
          <t>Segundo periodo</t>
        </is>
      </c>
      <c r="C172" t="n">
        <v>101</v>
      </c>
      <c r="D172" t="n">
        <v>170</v>
      </c>
      <c r="E172" s="3" t="n">
        <v>45785</v>
      </c>
      <c r="F172" t="inlineStr">
        <is>
          <t>Punto de Acuerdo</t>
        </is>
      </c>
      <c r="G172" t="inlineStr">
        <is>
          <t>Acuerdo por el cual exhorta a la Secretaría de Educación y de Ciencia, Humanidades, Tecnología e Innovación para fortalecer la conectividad en zonas rurales</t>
        </is>
      </c>
      <c r="H172" t="n">
        <v>8</v>
      </c>
      <c r="I172" t="inlineStr">
        <is>
          <t>Educación y Cultura</t>
        </is>
      </c>
      <c r="J172" t="n">
        <v>7</v>
      </c>
      <c r="K172" t="n">
        <v>0</v>
      </c>
      <c r="L172" t="n">
        <v>0</v>
      </c>
      <c r="M172" t="n">
        <v>34</v>
      </c>
      <c r="N172">
        <f>SUM(J172:M172)</f>
        <v/>
      </c>
      <c r="O172" s="4">
        <f>SUM(J172:L172)/SUM(J172:M172)</f>
        <v/>
      </c>
      <c r="P172" s="5">
        <f>MAX(J172:L172)/SUM(J172:L172)</f>
        <v/>
      </c>
    </row>
    <row r="173">
      <c r="A173" t="inlineStr">
        <is>
          <t>Primer año</t>
        </is>
      </c>
      <c r="B173" t="inlineStr">
        <is>
          <t>Segundo periodo</t>
        </is>
      </c>
      <c r="C173" t="n">
        <v>102</v>
      </c>
      <c r="D173" t="n">
        <v>171</v>
      </c>
      <c r="E173" s="3" t="n">
        <v>45785</v>
      </c>
      <c r="F173" t="inlineStr">
        <is>
          <t>Punto de Acuerdo</t>
        </is>
      </c>
      <c r="G173" t="inlineStr">
        <is>
          <t>Acuerdo por el cual exhorta a la Secretaría de Educación para implementar un sistema digital de inscripción y reinscripción</t>
        </is>
      </c>
      <c r="H173" t="n">
        <v>8</v>
      </c>
      <c r="I173" t="inlineStr">
        <is>
          <t>Educación y Cultura</t>
        </is>
      </c>
      <c r="J173" t="n">
        <v>7</v>
      </c>
      <c r="K173" t="n">
        <v>0</v>
      </c>
      <c r="L173" t="n">
        <v>0</v>
      </c>
      <c r="M173" t="n">
        <v>34</v>
      </c>
      <c r="N173">
        <f>SUM(J173:M173)</f>
        <v/>
      </c>
      <c r="O173" s="4">
        <f>SUM(J173:L173)/SUM(J173:M173)</f>
        <v/>
      </c>
      <c r="P173" s="5">
        <f>MAX(J173:L173)/SUM(J173:L173)</f>
        <v/>
      </c>
    </row>
    <row r="174">
      <c r="A174" t="inlineStr">
        <is>
          <t>Primer año</t>
        </is>
      </c>
      <c r="B174" t="inlineStr">
        <is>
          <t>Tercer periodo</t>
        </is>
      </c>
      <c r="C174" t="n">
        <v>1</v>
      </c>
      <c r="D174" t="n">
        <v>172</v>
      </c>
      <c r="E174" s="3" t="n">
        <v>45792</v>
      </c>
      <c r="F174" t="inlineStr">
        <is>
          <t>Punto de Acuerdo</t>
        </is>
      </c>
      <c r="G174" t="inlineStr">
        <is>
          <t>Acuerdo por el que se exhorta al organismo público descentralizado denominado Caminos y Puentes Federales de Ingresos y Servicios Conexos</t>
        </is>
      </c>
      <c r="H174" t="n">
        <v>11</v>
      </c>
      <c r="I174" t="inlineStr">
        <is>
          <t>Infraestructura, Movilidad y Transporte</t>
        </is>
      </c>
      <c r="J174" t="n">
        <v>37</v>
      </c>
      <c r="K174" t="n">
        <v>0</v>
      </c>
      <c r="L174" t="n">
        <v>0</v>
      </c>
      <c r="M174" t="n">
        <v>4</v>
      </c>
      <c r="N174">
        <f>SUM(J174:M174)</f>
        <v/>
      </c>
      <c r="O174" s="4">
        <f>SUM(J174:L174)/SUM(J174:M174)</f>
        <v/>
      </c>
      <c r="P174" s="5">
        <f>MAX(J174:L174)/SUM(J174:L174)</f>
        <v/>
      </c>
    </row>
    <row r="175">
      <c r="A175" t="inlineStr">
        <is>
          <t>Primer año</t>
        </is>
      </c>
      <c r="B175" t="inlineStr">
        <is>
          <t>Tercer periodo</t>
        </is>
      </c>
      <c r="C175" t="n">
        <v>2</v>
      </c>
      <c r="D175" t="n">
        <v>173</v>
      </c>
      <c r="E175" s="3" t="n">
        <v>45797</v>
      </c>
      <c r="F175" t="inlineStr">
        <is>
          <t>Punto de Acuerdo</t>
        </is>
      </c>
      <c r="G175" t="inlineStr">
        <is>
          <t>Acuerdo por el cual se revoca el mandato del presidente municipal, las regidoras y los regidores y de la síndica municipal, y se declara la desaparición del ayuntamiento de Tlachichuca</t>
        </is>
      </c>
      <c r="H175" t="n">
        <v>18</v>
      </c>
      <c r="I175" t="inlineStr">
        <is>
          <t>Administración Pública</t>
        </is>
      </c>
      <c r="J175" t="n">
        <v>31</v>
      </c>
      <c r="K175" t="n">
        <v>1</v>
      </c>
      <c r="L175" t="n">
        <v>5</v>
      </c>
      <c r="M175" t="n">
        <v>4</v>
      </c>
      <c r="N175">
        <f>SUM(J175:M175)</f>
        <v/>
      </c>
      <c r="O175" s="4">
        <f>SUM(J175:L175)/SUM(J175:M175)</f>
        <v/>
      </c>
      <c r="P175" s="5">
        <f>MAX(J175:L175)/SUM(J175:L175)</f>
        <v/>
      </c>
    </row>
    <row r="176">
      <c r="A176" t="inlineStr">
        <is>
          <t>Primer año</t>
        </is>
      </c>
      <c r="B176" t="inlineStr">
        <is>
          <t>Tercer periodo</t>
        </is>
      </c>
      <c r="C176" t="n">
        <v>3</v>
      </c>
      <c r="D176" t="n">
        <v>174</v>
      </c>
      <c r="E176" s="3" t="n">
        <v>45799</v>
      </c>
      <c r="F176" t="inlineStr">
        <is>
          <t>Iniciativa</t>
        </is>
      </c>
      <c r="G176" t="inlineStr">
        <is>
          <t>Dictamen con minuta de decreto por el cual se reforman y adicionan diversas disposiciones a la Ley Orgánica del Poder Legislativo del Estado libre y soberano y del Reglamento Interior del honorable Congreso del Estado libre y soberano de</t>
        </is>
      </c>
      <c r="H176" t="n">
        <v>19</v>
      </c>
      <c r="I176" t="inlineStr">
        <is>
          <t>Internos del Congreso</t>
        </is>
      </c>
      <c r="J176" t="n">
        <v>38</v>
      </c>
      <c r="K176" t="n">
        <v>0</v>
      </c>
      <c r="L176" t="n">
        <v>0</v>
      </c>
      <c r="M176" t="n">
        <v>3</v>
      </c>
      <c r="N176">
        <f>SUM(J176:M176)</f>
        <v/>
      </c>
      <c r="O176" s="4">
        <f>SUM(J176:L176)/SUM(J176:M176)</f>
        <v/>
      </c>
      <c r="P176" s="5">
        <f>MAX(J176:L176)/SUM(J176:L176)</f>
        <v/>
      </c>
    </row>
    <row r="177">
      <c r="A177" t="inlineStr">
        <is>
          <t>Primer año</t>
        </is>
      </c>
      <c r="B177" t="inlineStr">
        <is>
          <t>Tercer periodo</t>
        </is>
      </c>
      <c r="C177" t="n">
        <v>4</v>
      </c>
      <c r="D177" t="n">
        <v>175</v>
      </c>
      <c r="E177" s="3" t="n">
        <v>45799</v>
      </c>
      <c r="F177" t="inlineStr">
        <is>
          <t>Iniciativa</t>
        </is>
      </c>
      <c r="G177" t="inlineStr">
        <is>
          <t>Dictamen con minuta de decreto por el cual se adiciona un segundo párrafo al artículo 71 de la Ley de Educación de Estado de</t>
        </is>
      </c>
      <c r="H177" t="n">
        <v>8</v>
      </c>
      <c r="I177" t="inlineStr">
        <is>
          <t>Educación y Cultura</t>
        </is>
      </c>
      <c r="J177" t="n">
        <v>38</v>
      </c>
      <c r="K177" t="n">
        <v>0</v>
      </c>
      <c r="L177" t="n">
        <v>0</v>
      </c>
      <c r="M177" t="n">
        <v>3</v>
      </c>
      <c r="N177">
        <f>SUM(J177:M177)</f>
        <v/>
      </c>
      <c r="O177" s="4">
        <f>SUM(J177:L177)/SUM(J177:M177)</f>
        <v/>
      </c>
      <c r="P177" s="5">
        <f>MAX(J177:L177)/SUM(J177:L177)</f>
        <v/>
      </c>
    </row>
    <row r="178">
      <c r="A178" t="inlineStr">
        <is>
          <t>Primer año</t>
        </is>
      </c>
      <c r="B178" t="inlineStr">
        <is>
          <t>Tercer periodo</t>
        </is>
      </c>
      <c r="C178" t="n">
        <v>5</v>
      </c>
      <c r="D178" t="n">
        <v>176</v>
      </c>
      <c r="E178" s="3" t="n">
        <v>45799</v>
      </c>
      <c r="F178" t="inlineStr">
        <is>
          <t>Iniciativa</t>
        </is>
      </c>
      <c r="G178" t="inlineStr">
        <is>
          <t>Dictamen con minuta de decreto por el cual se reforma la fracción XIV del artículo 69 de la Ley de Educación del Estado de</t>
        </is>
      </c>
      <c r="H178" t="n">
        <v>8</v>
      </c>
      <c r="I178" t="inlineStr">
        <is>
          <t>Educación y Cultura</t>
        </is>
      </c>
      <c r="J178" t="n">
        <v>38</v>
      </c>
      <c r="K178" t="n">
        <v>0</v>
      </c>
      <c r="L178" t="n">
        <v>0</v>
      </c>
      <c r="M178" t="n">
        <v>3</v>
      </c>
      <c r="N178">
        <f>SUM(J178:M178)</f>
        <v/>
      </c>
      <c r="O178" s="4">
        <f>SUM(J178:L178)/SUM(J178:M178)</f>
        <v/>
      </c>
      <c r="P178" s="5">
        <f>MAX(J178:L178)/SUM(J178:L178)</f>
        <v/>
      </c>
    </row>
    <row r="179">
      <c r="A179" t="inlineStr">
        <is>
          <t>Primer año</t>
        </is>
      </c>
      <c r="B179" t="inlineStr">
        <is>
          <t>Tercer periodo</t>
        </is>
      </c>
      <c r="C179" t="n">
        <v>6</v>
      </c>
      <c r="D179" t="n">
        <v>177</v>
      </c>
      <c r="E179" s="3" t="n">
        <v>45799</v>
      </c>
      <c r="F179" t="inlineStr">
        <is>
          <t>Iniciativa</t>
        </is>
      </c>
      <c r="G179" t="inlineStr">
        <is>
          <t>Dictamen con minuta de decreto por el cual se reforma la fracción II del artículo 119 de la Ley de Educación del Estado de</t>
        </is>
      </c>
      <c r="H179" t="n">
        <v>8</v>
      </c>
      <c r="I179" t="inlineStr">
        <is>
          <t>Educación y Cultura</t>
        </is>
      </c>
      <c r="J179" t="n">
        <v>39</v>
      </c>
      <c r="K179" t="n">
        <v>0</v>
      </c>
      <c r="L179" t="n">
        <v>0</v>
      </c>
      <c r="M179" t="n">
        <v>2</v>
      </c>
      <c r="N179">
        <f>SUM(J179:M179)</f>
        <v/>
      </c>
      <c r="O179" s="4">
        <f>SUM(J179:L179)/SUM(J179:M179)</f>
        <v/>
      </c>
      <c r="P179" s="5">
        <f>MAX(J179:L179)/SUM(J179:L179)</f>
        <v/>
      </c>
    </row>
    <row r="180">
      <c r="A180" t="inlineStr">
        <is>
          <t>Primer año</t>
        </is>
      </c>
      <c r="B180" t="inlineStr">
        <is>
          <t>Tercer periodo</t>
        </is>
      </c>
      <c r="C180" t="n">
        <v>7</v>
      </c>
      <c r="D180" t="n">
        <v>178</v>
      </c>
      <c r="E180" s="3" t="n">
        <v>45799</v>
      </c>
      <c r="F180" t="inlineStr">
        <is>
          <t>Iniciativa</t>
        </is>
      </c>
      <c r="G180" t="inlineStr">
        <is>
          <t>Dictamen con minuta de decreto por el cual se deroga la fracción XVIII del artículo 91 de la Ley Orgánica Municipal</t>
        </is>
      </c>
      <c r="H180" t="n">
        <v>18</v>
      </c>
      <c r="I180" t="inlineStr">
        <is>
          <t>Administración Pública</t>
        </is>
      </c>
      <c r="J180" t="n">
        <v>39</v>
      </c>
      <c r="K180" t="n">
        <v>0</v>
      </c>
      <c r="L180" t="n">
        <v>0</v>
      </c>
      <c r="M180" t="n">
        <v>2</v>
      </c>
      <c r="N180">
        <f>SUM(J180:M180)</f>
        <v/>
      </c>
      <c r="O180" s="4">
        <f>SUM(J180:L180)/SUM(J180:M180)</f>
        <v/>
      </c>
      <c r="P180" s="5">
        <f>MAX(J180:L180)/SUM(J180:L180)</f>
        <v/>
      </c>
    </row>
    <row r="181">
      <c r="A181" t="inlineStr">
        <is>
          <t>Primer año</t>
        </is>
      </c>
      <c r="B181" t="inlineStr">
        <is>
          <t>Tercer periodo</t>
        </is>
      </c>
      <c r="C181" t="n">
        <v>8</v>
      </c>
      <c r="D181" t="n">
        <v>179</v>
      </c>
      <c r="E181" s="3" t="n">
        <v>45799</v>
      </c>
      <c r="F181" t="inlineStr">
        <is>
          <t>Iniciativa</t>
        </is>
      </c>
      <c r="G181" t="inlineStr">
        <is>
          <t>Dictamen con minuta de decreto por el cual se reforma el artículo 70 de la Ley Orgánica Municipal</t>
        </is>
      </c>
      <c r="H181" t="n">
        <v>18</v>
      </c>
      <c r="I181" t="inlineStr">
        <is>
          <t>Administración Pública</t>
        </is>
      </c>
      <c r="J181" t="n">
        <v>39</v>
      </c>
      <c r="K181" t="n">
        <v>0</v>
      </c>
      <c r="L181" t="n">
        <v>0</v>
      </c>
      <c r="M181" t="n">
        <v>2</v>
      </c>
      <c r="N181">
        <f>SUM(J181:M181)</f>
        <v/>
      </c>
      <c r="O181" s="4">
        <f>SUM(J181:L181)/SUM(J181:M181)</f>
        <v/>
      </c>
      <c r="P181" s="5">
        <f>MAX(J181:L181)/SUM(J181:L181)</f>
        <v/>
      </c>
    </row>
    <row r="182">
      <c r="A182" t="inlineStr">
        <is>
          <t>Primer año</t>
        </is>
      </c>
      <c r="B182" t="inlineStr">
        <is>
          <t>Tercer periodo</t>
        </is>
      </c>
      <c r="C182" t="n">
        <v>9</v>
      </c>
      <c r="D182" t="n">
        <v>180</v>
      </c>
      <c r="E182" s="3" t="n">
        <v>45799</v>
      </c>
      <c r="F182" t="inlineStr">
        <is>
          <t>Punto de Acuerdo</t>
        </is>
      </c>
      <c r="G182" t="inlineStr">
        <is>
          <t>Acuerdo por el que se exhorta a la Secretaría de Gobernación del Estado para que, en coordinación con los sistemas municipales DIF, implemente una campaña para el registro y expedición de actas de nacimiento</t>
        </is>
      </c>
      <c r="H182" t="n">
        <v>2</v>
      </c>
      <c r="I182" t="inlineStr">
        <is>
          <t>Pobreza y Política Social</t>
        </is>
      </c>
      <c r="J182" t="n">
        <v>39</v>
      </c>
      <c r="K182" t="n">
        <v>0</v>
      </c>
      <c r="L182" t="n">
        <v>0</v>
      </c>
      <c r="M182" t="n">
        <v>2</v>
      </c>
      <c r="N182">
        <f>SUM(J182:M182)</f>
        <v/>
      </c>
      <c r="O182" s="4">
        <f>SUM(J182:L182)/SUM(J182:M182)</f>
        <v/>
      </c>
      <c r="P182" s="5">
        <f>MAX(J182:L182)/SUM(J182:L182)</f>
        <v/>
      </c>
    </row>
    <row r="183">
      <c r="A183" t="inlineStr">
        <is>
          <t>Primer año</t>
        </is>
      </c>
      <c r="B183" t="inlineStr">
        <is>
          <t>Tercer periodo</t>
        </is>
      </c>
      <c r="C183" t="n">
        <v>10</v>
      </c>
      <c r="D183" t="n">
        <v>181</v>
      </c>
      <c r="E183" s="3" t="n">
        <v>45799</v>
      </c>
      <c r="F183" t="inlineStr">
        <is>
          <t>Punto de Acuerdo</t>
        </is>
      </c>
      <c r="G183" t="inlineStr">
        <is>
          <t>Acuerdo por el cual se exhorta a la Secretaría de Gobernación y a la Secretaría de Desarrollo Económico y Trabajo para la prevención del reclutamiento fraudulento de jóvenes</t>
        </is>
      </c>
      <c r="H183" t="n">
        <v>3</v>
      </c>
      <c r="I183" t="inlineStr">
        <is>
          <t>Seguridad Pública, Protección Civil y Narcotráfico</t>
        </is>
      </c>
      <c r="J183" t="n">
        <v>39</v>
      </c>
      <c r="K183" t="n">
        <v>0</v>
      </c>
      <c r="L183" t="n">
        <v>0</v>
      </c>
      <c r="M183" t="n">
        <v>2</v>
      </c>
      <c r="N183">
        <f>SUM(J183:M183)</f>
        <v/>
      </c>
      <c r="O183" s="4">
        <f>SUM(J183:L183)/SUM(J183:M183)</f>
        <v/>
      </c>
      <c r="P183" s="5">
        <f>MAX(J183:L183)/SUM(J183:L183)</f>
        <v/>
      </c>
    </row>
    <row r="184">
      <c r="A184" t="inlineStr">
        <is>
          <t>Primer año</t>
        </is>
      </c>
      <c r="B184" t="inlineStr">
        <is>
          <t>Tercer periodo</t>
        </is>
      </c>
      <c r="C184" t="n">
        <v>11</v>
      </c>
      <c r="D184" t="n">
        <v>182</v>
      </c>
      <c r="E184" s="3" t="n">
        <v>45799</v>
      </c>
      <c r="F184" t="inlineStr">
        <is>
          <t>Punto de Acuerdo</t>
        </is>
      </c>
      <c r="G184" t="inlineStr">
        <is>
          <t>Acuerdo por el cual se exhorta a los Ayuntamientos de Atlixco, Huejotzingo y Tecamachalco a fortalecer su participación en la Red Mundial de Ciudades del Aprendizaje de la UNESCO</t>
        </is>
      </c>
      <c r="H184" t="n">
        <v>8</v>
      </c>
      <c r="I184" t="inlineStr">
        <is>
          <t>Educación y Cultura</t>
        </is>
      </c>
      <c r="J184" t="n">
        <v>39</v>
      </c>
      <c r="K184" t="n">
        <v>0</v>
      </c>
      <c r="L184" t="n">
        <v>0</v>
      </c>
      <c r="M184" t="n">
        <v>2</v>
      </c>
      <c r="N184">
        <f>SUM(J184:M184)</f>
        <v/>
      </c>
      <c r="O184" s="4">
        <f>SUM(J184:L184)/SUM(J184:M184)</f>
        <v/>
      </c>
      <c r="P184" s="5">
        <f>MAX(J184:L184)/SUM(J184:L184)</f>
        <v/>
      </c>
    </row>
    <row r="185">
      <c r="A185" t="inlineStr">
        <is>
          <t>Primer año</t>
        </is>
      </c>
      <c r="B185" t="inlineStr">
        <is>
          <t>Tercer periodo</t>
        </is>
      </c>
      <c r="C185" t="n">
        <v>12</v>
      </c>
      <c r="D185" t="n">
        <v>183</v>
      </c>
      <c r="E185" s="3" t="n">
        <v>45799</v>
      </c>
      <c r="F185" t="inlineStr">
        <is>
          <t>Punto de Acuerdo</t>
        </is>
      </c>
      <c r="G185" t="inlineStr">
        <is>
          <t>Acuerdo por el cual se exhorta a la Secretaría de Educación y a los Ayuntamientos a fortalecer escuelas de educación indígena y albergues escolares</t>
        </is>
      </c>
      <c r="H185" t="n">
        <v>8</v>
      </c>
      <c r="I185" t="inlineStr">
        <is>
          <t>Educación y Cultura</t>
        </is>
      </c>
      <c r="J185" t="n">
        <v>39</v>
      </c>
      <c r="K185" t="n">
        <v>0</v>
      </c>
      <c r="L185" t="n">
        <v>0</v>
      </c>
      <c r="M185" t="n">
        <v>2</v>
      </c>
      <c r="N185">
        <f>SUM(J185:M185)</f>
        <v/>
      </c>
      <c r="O185" s="4">
        <f>SUM(J185:L185)/SUM(J185:M185)</f>
        <v/>
      </c>
      <c r="P185" s="5">
        <f>MAX(J185:L185)/SUM(J185:L185)</f>
        <v/>
      </c>
    </row>
    <row r="186">
      <c r="A186" t="inlineStr">
        <is>
          <t>Primer año</t>
        </is>
      </c>
      <c r="B186" t="inlineStr">
        <is>
          <t>Tercer periodo</t>
        </is>
      </c>
      <c r="C186" t="n">
        <v>13</v>
      </c>
      <c r="D186" t="n">
        <v>184</v>
      </c>
      <c r="E186" s="3" t="n">
        <v>45799</v>
      </c>
      <c r="F186" t="inlineStr">
        <is>
          <t>Punto de Acuerdo</t>
        </is>
      </c>
      <c r="G186" t="inlineStr">
        <is>
          <t>Acuerdo por el cual se exhorta a la Secretaría de Medio Ambiente, Desarrollo Sustentable y Ordenamiento Territorial a implementar campañas de prevención de contaminación visual</t>
        </is>
      </c>
      <c r="H186" t="n">
        <v>5</v>
      </c>
      <c r="I186" t="inlineStr">
        <is>
          <t>Medio Ambiente</t>
        </is>
      </c>
      <c r="J186" t="n">
        <v>39</v>
      </c>
      <c r="K186" t="n">
        <v>0</v>
      </c>
      <c r="L186" t="n">
        <v>0</v>
      </c>
      <c r="M186" t="n">
        <v>2</v>
      </c>
      <c r="N186">
        <f>SUM(J186:M186)</f>
        <v/>
      </c>
      <c r="O186" s="4">
        <f>SUM(J186:L186)/SUM(J186:M186)</f>
        <v/>
      </c>
      <c r="P186" s="5">
        <f>MAX(J186:L186)/SUM(J186:L186)</f>
        <v/>
      </c>
    </row>
    <row r="187">
      <c r="A187" t="inlineStr">
        <is>
          <t>Primer año</t>
        </is>
      </c>
      <c r="B187" t="inlineStr">
        <is>
          <t>Tercer periodo</t>
        </is>
      </c>
      <c r="C187" t="n">
        <v>14</v>
      </c>
      <c r="D187" t="n">
        <v>185</v>
      </c>
      <c r="E187" s="3" t="n">
        <v>45799</v>
      </c>
      <c r="F187" t="inlineStr">
        <is>
          <t>Punto de Acuerdo</t>
        </is>
      </c>
      <c r="G187" t="inlineStr">
        <is>
          <t>Acuerdo por el cual se exhorta a los Ayuntamientos a prohibir la venta de bebidas alcohólicas cerca de centros educativos</t>
        </is>
      </c>
      <c r="H187" t="n">
        <v>6</v>
      </c>
      <c r="I187" t="inlineStr">
        <is>
          <t>Salud</t>
        </is>
      </c>
      <c r="J187" t="n">
        <v>39</v>
      </c>
      <c r="K187" t="n">
        <v>0</v>
      </c>
      <c r="L187" t="n">
        <v>0</v>
      </c>
      <c r="M187" t="n">
        <v>2</v>
      </c>
      <c r="N187">
        <f>SUM(J187:M187)</f>
        <v/>
      </c>
      <c r="O187" s="4">
        <f>SUM(J187:L187)/SUM(J187:M187)</f>
        <v/>
      </c>
      <c r="P187" s="5">
        <f>MAX(J187:L187)/SUM(J187:L187)</f>
        <v/>
      </c>
    </row>
    <row r="188">
      <c r="A188" t="inlineStr">
        <is>
          <t>Primer año</t>
        </is>
      </c>
      <c r="B188" t="inlineStr">
        <is>
          <t>Tercer periodo</t>
        </is>
      </c>
      <c r="C188" t="n">
        <v>15</v>
      </c>
      <c r="D188" t="n">
        <v>186</v>
      </c>
      <c r="E188" s="3" t="n">
        <v>45799</v>
      </c>
      <c r="F188" t="inlineStr">
        <is>
          <t>Punto de Acuerdo</t>
        </is>
      </c>
      <c r="G188" t="inlineStr">
        <is>
          <t>Acuerdo por el cual se exhorta a los Ayuntamientos a implementar programas de capacitación para la eficiencia administrativa y servicios públicos</t>
        </is>
      </c>
      <c r="H188" t="n">
        <v>18</v>
      </c>
      <c r="I188" t="inlineStr">
        <is>
          <t>Administración Pública</t>
        </is>
      </c>
      <c r="J188" t="n">
        <v>39</v>
      </c>
      <c r="K188" t="n">
        <v>0</v>
      </c>
      <c r="L188" t="n">
        <v>0</v>
      </c>
      <c r="M188" t="n">
        <v>2</v>
      </c>
      <c r="N188">
        <f>SUM(J188:M188)</f>
        <v/>
      </c>
      <c r="O188" s="4">
        <f>SUM(J188:L188)/SUM(J188:M188)</f>
        <v/>
      </c>
      <c r="P188" s="5">
        <f>MAX(J188:L188)/SUM(J188:L188)</f>
        <v/>
      </c>
    </row>
    <row r="189">
      <c r="A189" t="inlineStr">
        <is>
          <t>Primer año</t>
        </is>
      </c>
      <c r="B189" t="inlineStr">
        <is>
          <t>Tercer periodo</t>
        </is>
      </c>
      <c r="C189" t="n">
        <v>16</v>
      </c>
      <c r="D189" t="n">
        <v>187</v>
      </c>
      <c r="E189" s="3" t="n">
        <v>45799</v>
      </c>
      <c r="F189" t="inlineStr">
        <is>
          <t>Punto de Acuerdo</t>
        </is>
      </c>
      <c r="G189" t="inlineStr">
        <is>
          <t>Acuerdo por el cual se exhorta a los Ayuntamientos a fortalecer protocolos de prevención de violencia de género y feminicidios</t>
        </is>
      </c>
      <c r="H189" t="n">
        <v>20</v>
      </c>
      <c r="I189" t="inlineStr">
        <is>
          <t>Justicia y Estado de Derecho en temas de Mujeres</t>
        </is>
      </c>
      <c r="J189" t="n">
        <v>39</v>
      </c>
      <c r="K189" t="n">
        <v>0</v>
      </c>
      <c r="L189" t="n">
        <v>0</v>
      </c>
      <c r="M189" t="n">
        <v>2</v>
      </c>
      <c r="N189">
        <f>SUM(J189:M189)</f>
        <v/>
      </c>
      <c r="O189" s="4">
        <f>SUM(J189:L189)/SUM(J189:M189)</f>
        <v/>
      </c>
      <c r="P189" s="5">
        <f>MAX(J189:L189)/SUM(J189:L189)</f>
        <v/>
      </c>
    </row>
    <row r="190">
      <c r="A190" t="inlineStr">
        <is>
          <t>Primer año</t>
        </is>
      </c>
      <c r="B190" t="inlineStr">
        <is>
          <t>Tercer periodo</t>
        </is>
      </c>
      <c r="C190" t="n">
        <v>17</v>
      </c>
      <c r="D190" t="n">
        <v>188</v>
      </c>
      <c r="E190" s="3" t="n">
        <v>45799</v>
      </c>
      <c r="F190" t="inlineStr">
        <is>
          <t>Punto de Acuerdo</t>
        </is>
      </c>
      <c r="G190" t="inlineStr">
        <is>
          <t>Acuerdo por el cual se exhorta a los Ayuntamientos a realizar cobros de derechos con apego a sus leyes de ingresos</t>
        </is>
      </c>
      <c r="H190" t="n">
        <v>7</v>
      </c>
      <c r="I190" t="inlineStr">
        <is>
          <t>Impuestos, Finanzas Públicas, Patrimonio estatal y municipal</t>
        </is>
      </c>
      <c r="J190" t="n">
        <v>39</v>
      </c>
      <c r="K190" t="n">
        <v>0</v>
      </c>
      <c r="L190" t="n">
        <v>0</v>
      </c>
      <c r="M190" t="n">
        <v>2</v>
      </c>
      <c r="N190">
        <f>SUM(J190:M190)</f>
        <v/>
      </c>
      <c r="O190" s="4">
        <f>SUM(J190:L190)/SUM(J190:M190)</f>
        <v/>
      </c>
      <c r="P190" s="5">
        <f>MAX(J190:L190)/SUM(J190:L190)</f>
        <v/>
      </c>
    </row>
    <row r="191">
      <c r="A191" t="inlineStr">
        <is>
          <t>Primer año</t>
        </is>
      </c>
      <c r="B191" t="inlineStr">
        <is>
          <t>Tercer periodo</t>
        </is>
      </c>
      <c r="C191" t="n">
        <v>18</v>
      </c>
      <c r="D191" t="n">
        <v>189</v>
      </c>
      <c r="E191" s="3" t="n">
        <v>45806</v>
      </c>
      <c r="F191" t="inlineStr">
        <is>
          <t>Iniciativa</t>
        </is>
      </c>
      <c r="G191" t="inlineStr">
        <is>
          <t>Dictamen con minuta de decreto por el cual se reforman y derogan diversas disposiciones de la Constitución Política del Estado Libre y Soberano de Puebla</t>
        </is>
      </c>
      <c r="H191" t="n">
        <v>18</v>
      </c>
      <c r="I191" t="inlineStr">
        <is>
          <t>Administración Pública</t>
        </is>
      </c>
      <c r="J191" t="n">
        <v>34</v>
      </c>
      <c r="K191" t="n">
        <v>0</v>
      </c>
      <c r="L191" t="n">
        <v>6</v>
      </c>
      <c r="M191" t="n">
        <v>1</v>
      </c>
      <c r="N191">
        <f>SUM(J191:M191)</f>
        <v/>
      </c>
      <c r="O191" s="4">
        <f>SUM(J191:L191)/SUM(J191:M191)</f>
        <v/>
      </c>
      <c r="P191" s="5">
        <f>MAX(J191:L191)/SUM(J191:L191)</f>
        <v/>
      </c>
    </row>
    <row r="192">
      <c r="A192" t="inlineStr">
        <is>
          <t>Primer año</t>
        </is>
      </c>
      <c r="B192" t="inlineStr">
        <is>
          <t>Tercer periodo</t>
        </is>
      </c>
      <c r="C192" t="n">
        <v>19</v>
      </c>
      <c r="D192" t="n">
        <v>190</v>
      </c>
      <c r="E192" s="3" t="n">
        <v>45806</v>
      </c>
      <c r="F192" t="inlineStr">
        <is>
          <t>Iniciativa</t>
        </is>
      </c>
      <c r="G192" t="inlineStr">
        <is>
          <t>Dictamen con minuta de decreto por el cual se reforman y adicionan diversas disposiciones de la Constitución Política del Estado Libre y Soberano de Puebla, en materia de igualdad sustantiva y erradicación de la brecha salarial por razones de género</t>
        </is>
      </c>
      <c r="H192" t="n">
        <v>20</v>
      </c>
      <c r="I192" t="inlineStr">
        <is>
          <t>Justicia y Estado de Derecho en temas de Mujeres</t>
        </is>
      </c>
      <c r="J192" t="n">
        <v>40</v>
      </c>
      <c r="K192" t="n">
        <v>0</v>
      </c>
      <c r="L192" t="n">
        <v>0</v>
      </c>
      <c r="M192" t="n">
        <v>1</v>
      </c>
      <c r="N192">
        <f>SUM(J192:M192)</f>
        <v/>
      </c>
      <c r="O192" s="4">
        <f>SUM(J192:L192)/SUM(J192:M192)</f>
        <v/>
      </c>
      <c r="P192" s="5">
        <f>MAX(J192:L192)/SUM(J192:L192)</f>
        <v/>
      </c>
    </row>
    <row r="193">
      <c r="A193" t="inlineStr">
        <is>
          <t>Primer año</t>
        </is>
      </c>
      <c r="B193" t="inlineStr">
        <is>
          <t>Tercer periodo</t>
        </is>
      </c>
      <c r="C193" t="n">
        <v>20</v>
      </c>
      <c r="D193" t="n">
        <v>191</v>
      </c>
      <c r="E193" s="3" t="n">
        <v>45806</v>
      </c>
      <c r="F193" t="inlineStr">
        <is>
          <t>Iniciativa</t>
        </is>
      </c>
      <c r="G193" t="inlineStr">
        <is>
          <t>Dictamen con minuta de decreto por el cual se reforman y adicionan diversas disposiciones del similar por el que se crea el organismo público descentralizado denominado “Universidad de la Salud”</t>
        </is>
      </c>
      <c r="H193" t="n">
        <v>6</v>
      </c>
      <c r="I193" t="inlineStr">
        <is>
          <t>Salud</t>
        </is>
      </c>
      <c r="J193" t="n">
        <v>40</v>
      </c>
      <c r="K193" t="n">
        <v>0</v>
      </c>
      <c r="L193" t="n">
        <v>0</v>
      </c>
      <c r="M193" t="n">
        <v>1</v>
      </c>
      <c r="N193">
        <f>SUM(J193:M193)</f>
        <v/>
      </c>
      <c r="O193" s="4">
        <f>SUM(J193:L193)/SUM(J193:M193)</f>
        <v/>
      </c>
      <c r="P193" s="5">
        <f>MAX(J193:L193)/SUM(J193:L193)</f>
        <v/>
      </c>
    </row>
    <row r="194">
      <c r="A194" t="inlineStr">
        <is>
          <t>Primer año</t>
        </is>
      </c>
      <c r="B194" t="inlineStr">
        <is>
          <t>Tercer periodo</t>
        </is>
      </c>
      <c r="C194" t="n">
        <v>21</v>
      </c>
      <c r="D194" t="n">
        <v>192</v>
      </c>
      <c r="E194" s="3" t="n">
        <v>45806</v>
      </c>
      <c r="F194" t="inlineStr">
        <is>
          <t>Iniciativa</t>
        </is>
      </c>
      <c r="G194" t="inlineStr">
        <is>
          <t>Dictamen con minuta de decreto por el cual se reforman y adicionan diversas disposiciones de la Ley para la Igualdad entre Mujeres y Hombres del Estado de Puebla y de la Ley para el Acceso de las Mujeres a una Vida Libre de Violencia del Estado de Puebla</t>
        </is>
      </c>
      <c r="H194" t="n">
        <v>20</v>
      </c>
      <c r="I194" t="inlineStr">
        <is>
          <t>Justicia y Estado de Derecho en temas de Mujeres</t>
        </is>
      </c>
      <c r="J194" t="n">
        <v>40</v>
      </c>
      <c r="K194" t="n">
        <v>0</v>
      </c>
      <c r="L194" t="n">
        <v>0</v>
      </c>
      <c r="M194" t="n">
        <v>1</v>
      </c>
      <c r="N194">
        <f>SUM(J194:M194)</f>
        <v/>
      </c>
      <c r="O194" s="4">
        <f>SUM(J194:L194)/SUM(J194:M194)</f>
        <v/>
      </c>
      <c r="P194" s="5">
        <f>MAX(J194:L194)/SUM(J194:L194)</f>
        <v/>
      </c>
    </row>
    <row r="195">
      <c r="A195" t="inlineStr">
        <is>
          <t>Primer año</t>
        </is>
      </c>
      <c r="B195" t="inlineStr">
        <is>
          <t>Tercer periodo</t>
        </is>
      </c>
      <c r="C195" t="n">
        <v>22</v>
      </c>
      <c r="D195" t="n">
        <v>193</v>
      </c>
      <c r="E195" s="3" t="n">
        <v>45806</v>
      </c>
      <c r="F195" t="inlineStr">
        <is>
          <t>Iniciativa</t>
        </is>
      </c>
      <c r="G195" t="inlineStr">
        <is>
          <t>Dictamen con minuta de decreto por el cual se modifica el destino de la donación hecha por el honorable ayuntamiento del municipio de Amozoc, a favor del organismo público descentralizado denominado “Instituto Mexicano del Seguro Social”</t>
        </is>
      </c>
      <c r="H195" t="n">
        <v>6</v>
      </c>
      <c r="I195" t="inlineStr">
        <is>
          <t>Salud</t>
        </is>
      </c>
      <c r="J195" t="n">
        <v>40</v>
      </c>
      <c r="K195" t="n">
        <v>0</v>
      </c>
      <c r="L195" t="n">
        <v>0</v>
      </c>
      <c r="M195" t="n">
        <v>1</v>
      </c>
      <c r="N195">
        <f>SUM(J195:M195)</f>
        <v/>
      </c>
      <c r="O195" s="4">
        <f>SUM(J195:L195)/SUM(J195:M195)</f>
        <v/>
      </c>
      <c r="P195" s="5">
        <f>MAX(J195:L195)/SUM(J195:L195)</f>
        <v/>
      </c>
    </row>
    <row r="196">
      <c r="A196" t="inlineStr">
        <is>
          <t>Primer año</t>
        </is>
      </c>
      <c r="B196" t="inlineStr">
        <is>
          <t>Tercer periodo</t>
        </is>
      </c>
      <c r="C196" t="n">
        <v>23</v>
      </c>
      <c r="D196" t="n">
        <v>194</v>
      </c>
      <c r="E196" s="3" t="n">
        <v>45806</v>
      </c>
      <c r="F196" t="inlineStr">
        <is>
          <t>Iniciativa</t>
        </is>
      </c>
      <c r="G196" t="inlineStr">
        <is>
          <t>Dictamen con minuta de decreto por el cual se autoriza al honorable ayuntamiento del municipio de Cuautlancingo, la enajenación bajo la figura de donación a título gratuito de un predio a favor del poder ejecutivo de la unión con destino a la secretaría de educación pública</t>
        </is>
      </c>
      <c r="H196" t="n">
        <v>8</v>
      </c>
      <c r="I196" t="inlineStr">
        <is>
          <t>Educación y Cultura</t>
        </is>
      </c>
      <c r="J196" t="n">
        <v>40</v>
      </c>
      <c r="K196" t="n">
        <v>0</v>
      </c>
      <c r="L196" t="n">
        <v>0</v>
      </c>
      <c r="M196" t="n">
        <v>1</v>
      </c>
      <c r="N196">
        <f>SUM(J196:M196)</f>
        <v/>
      </c>
      <c r="O196" s="4">
        <f>SUM(J196:L196)/SUM(J196:M196)</f>
        <v/>
      </c>
      <c r="P196" s="5">
        <f>MAX(J196:L196)/SUM(J196:L196)</f>
        <v/>
      </c>
    </row>
    <row r="197">
      <c r="A197" t="inlineStr">
        <is>
          <t>Primer año</t>
        </is>
      </c>
      <c r="B197" t="inlineStr">
        <is>
          <t>Tercer periodo</t>
        </is>
      </c>
      <c r="C197" t="n">
        <v>24</v>
      </c>
      <c r="D197" t="n">
        <v>195</v>
      </c>
      <c r="E197" s="3" t="n">
        <v>45806</v>
      </c>
      <c r="F197" t="inlineStr">
        <is>
          <t>Iniciativa</t>
        </is>
      </c>
      <c r="G197" t="inlineStr">
        <is>
          <t>Dictamen con minuta de decreto por el cual se reforma el acápite y la fracción II del artículo 11 del decreto que crea el Colegio de Estudios Científicos y Tecnológicos del Estado de Puebla</t>
        </is>
      </c>
      <c r="H197" t="n">
        <v>8</v>
      </c>
      <c r="I197" t="inlineStr">
        <is>
          <t>Educación y Cultura</t>
        </is>
      </c>
      <c r="J197" t="n">
        <v>40</v>
      </c>
      <c r="K197" t="n">
        <v>0</v>
      </c>
      <c r="L197" t="n">
        <v>0</v>
      </c>
      <c r="M197" t="n">
        <v>1</v>
      </c>
      <c r="N197">
        <f>SUM(J197:M197)</f>
        <v/>
      </c>
      <c r="O197" s="4">
        <f>SUM(J197:L197)/SUM(J197:M197)</f>
        <v/>
      </c>
      <c r="P197" s="5">
        <f>MAX(J197:L197)/SUM(J197:L197)</f>
        <v/>
      </c>
    </row>
    <row r="198">
      <c r="A198" t="inlineStr">
        <is>
          <t>Primer año</t>
        </is>
      </c>
      <c r="B198" t="inlineStr">
        <is>
          <t>Tercer periodo</t>
        </is>
      </c>
      <c r="C198" t="n">
        <v>25</v>
      </c>
      <c r="D198" t="n">
        <v>196</v>
      </c>
      <c r="E198" s="3" t="n">
        <v>45806</v>
      </c>
      <c r="F198" t="inlineStr">
        <is>
          <t>Punto de Acuerdo</t>
        </is>
      </c>
      <c r="G198" t="inlineStr">
        <is>
          <t>Acuerdo por el que se exhorta a la fiscalía general del estado de Puebla para que amplíe el catálogo de delitos que pueden ser denunciados a través de medios electrónicos</t>
        </is>
      </c>
      <c r="H198" t="n">
        <v>14</v>
      </c>
      <c r="I198" t="inlineStr">
        <is>
          <t>Justicia y Estado de Derecho</t>
        </is>
      </c>
      <c r="J198" t="n">
        <v>40</v>
      </c>
      <c r="K198" t="n">
        <v>0</v>
      </c>
      <c r="L198" t="n">
        <v>0</v>
      </c>
      <c r="M198" t="n">
        <v>1</v>
      </c>
      <c r="N198">
        <f>SUM(J198:M198)</f>
        <v/>
      </c>
      <c r="O198" s="4">
        <f>SUM(J198:L198)/SUM(J198:M198)</f>
        <v/>
      </c>
      <c r="P198" s="5">
        <f>MAX(J198:L198)/SUM(J198:L198)</f>
        <v/>
      </c>
    </row>
    <row r="199">
      <c r="A199" t="inlineStr">
        <is>
          <t>Primer año</t>
        </is>
      </c>
      <c r="B199" t="inlineStr">
        <is>
          <t>Tercer periodo</t>
        </is>
      </c>
      <c r="C199" t="n">
        <v>26</v>
      </c>
      <c r="D199" t="n">
        <v>197</v>
      </c>
      <c r="E199" s="3" t="n">
        <v>45806</v>
      </c>
      <c r="F199" t="inlineStr">
        <is>
          <t>Punto de Acuerdo</t>
        </is>
      </c>
      <c r="G199" t="inlineStr">
        <is>
          <t>Acuerdo por el cual se exhorta a la secretaría de gobernación, a través de la coordinación general de protección civil y gestión del riesgo de desastres, y a los ayuntamientos para realizar actos de inspección y vigilancia en espacios de eventos de afluencia masiva</t>
        </is>
      </c>
      <c r="H199" t="n">
        <v>3</v>
      </c>
      <c r="I199" t="inlineStr">
        <is>
          <t>Seguridad Pública, Protección Civil y Narcotráfico</t>
        </is>
      </c>
      <c r="J199" t="n">
        <v>40</v>
      </c>
      <c r="K199" t="n">
        <v>0</v>
      </c>
      <c r="L199" t="n">
        <v>0</v>
      </c>
      <c r="M199" t="n">
        <v>1</v>
      </c>
      <c r="N199">
        <f>SUM(J199:M199)</f>
        <v/>
      </c>
      <c r="O199" s="4">
        <f>SUM(J199:L199)/SUM(J199:M199)</f>
        <v/>
      </c>
      <c r="P199" s="5">
        <f>MAX(J199:L199)/SUM(J199:L199)</f>
        <v/>
      </c>
    </row>
    <row r="200">
      <c r="A200" t="inlineStr">
        <is>
          <t>Primer año</t>
        </is>
      </c>
      <c r="B200" t="inlineStr">
        <is>
          <t>Tercer periodo</t>
        </is>
      </c>
      <c r="C200" t="n">
        <v>27</v>
      </c>
      <c r="D200" t="n">
        <v>198</v>
      </c>
      <c r="E200" s="3" t="n">
        <v>45806</v>
      </c>
      <c r="F200" t="inlineStr">
        <is>
          <t>Punto de Acuerdo</t>
        </is>
      </c>
      <c r="G200" t="inlineStr">
        <is>
          <t>Acuerdo por el que se exhorta a la secretaría de ciencia, humanidades, tecnología e innovación del estado, para que impulse y promueva la vinculación con personas investigadoras, científicas e innovadoras con el sector industrial</t>
        </is>
      </c>
      <c r="H200" t="n">
        <v>1</v>
      </c>
      <c r="I200" t="inlineStr">
        <is>
          <t>Economía, Comercio y Competitividad</t>
        </is>
      </c>
      <c r="J200" t="n">
        <v>40</v>
      </c>
      <c r="K200" t="n">
        <v>0</v>
      </c>
      <c r="L200" t="n">
        <v>0</v>
      </c>
      <c r="M200" t="n">
        <v>1</v>
      </c>
      <c r="N200">
        <f>SUM(J200:M200)</f>
        <v/>
      </c>
      <c r="O200" s="4">
        <f>SUM(J200:L200)/SUM(J200:M200)</f>
        <v/>
      </c>
      <c r="P200" s="5">
        <f>MAX(J200:L200)/SUM(J200:L200)</f>
        <v/>
      </c>
    </row>
    <row r="201">
      <c r="A201" t="inlineStr">
        <is>
          <t>Primer año</t>
        </is>
      </c>
      <c r="B201" t="inlineStr">
        <is>
          <t>Tercer periodo</t>
        </is>
      </c>
      <c r="C201" t="n">
        <v>28</v>
      </c>
      <c r="D201" t="n">
        <v>199</v>
      </c>
      <c r="E201" s="3" t="n">
        <v>45806</v>
      </c>
      <c r="F201" t="inlineStr">
        <is>
          <t>Punto de Acuerdo</t>
        </is>
      </c>
      <c r="G201" t="inlineStr">
        <is>
          <t>Acuerdo por el cual se exhorta a los diecinueve ayuntamientos de los municipios que integran la zona metropolitana del estado, para que promuevan e implementen acciones, programas y políticas públicas para impulsar la economía circular</t>
        </is>
      </c>
      <c r="H201" t="n">
        <v>5</v>
      </c>
      <c r="I201" t="inlineStr">
        <is>
          <t>Medio Ambiente</t>
        </is>
      </c>
      <c r="J201" t="n">
        <v>40</v>
      </c>
      <c r="K201" t="n">
        <v>0</v>
      </c>
      <c r="L201" t="n">
        <v>0</v>
      </c>
      <c r="M201" t="n">
        <v>1</v>
      </c>
      <c r="N201">
        <f>SUM(J201:M201)</f>
        <v/>
      </c>
      <c r="O201" s="4">
        <f>SUM(J201:L201)/SUM(J201:M201)</f>
        <v/>
      </c>
      <c r="P201" s="5">
        <f>MAX(J201:L201)/SUM(J201:L201)</f>
        <v/>
      </c>
    </row>
    <row r="202">
      <c r="A202" t="inlineStr">
        <is>
          <t>Primer año</t>
        </is>
      </c>
      <c r="B202" t="inlineStr">
        <is>
          <t>Tercer periodo</t>
        </is>
      </c>
      <c r="C202" t="n">
        <v>29</v>
      </c>
      <c r="D202" t="n">
        <v>200</v>
      </c>
      <c r="E202" s="3" t="n">
        <v>45813</v>
      </c>
      <c r="F202" t="inlineStr">
        <is>
          <t>Iniciativa</t>
        </is>
      </c>
      <c r="G202" t="inlineStr">
        <is>
          <t>Dictamen con minuta de decreto por el cual se revoca el mandato del presidente municipal, las regidoras y los regidores y de la síndica municipal, y se declara la desaparición del ayuntamiento de San Nicolás Buenos Aires, Puebla, entre otros resolutivos</t>
        </is>
      </c>
      <c r="H202" t="n">
        <v>18</v>
      </c>
      <c r="I202" t="inlineStr">
        <is>
          <t>Administración Pública</t>
        </is>
      </c>
      <c r="J202" t="n">
        <v>38</v>
      </c>
      <c r="K202" t="n">
        <v>0</v>
      </c>
      <c r="L202" t="n">
        <v>1</v>
      </c>
      <c r="M202" t="n">
        <v>0</v>
      </c>
      <c r="N202">
        <f>SUM(J202:M202)</f>
        <v/>
      </c>
      <c r="O202" s="4">
        <f>SUM(J202:L202)/SUM(J202:M202)</f>
        <v/>
      </c>
      <c r="P202" s="5">
        <f>MAX(J202:L202)/SUM(J202:L202)</f>
        <v/>
      </c>
    </row>
    <row r="203">
      <c r="A203" t="inlineStr">
        <is>
          <t>Primer año</t>
        </is>
      </c>
      <c r="B203" t="inlineStr">
        <is>
          <t>Tercer periodo</t>
        </is>
      </c>
      <c r="C203" t="n">
        <v>30</v>
      </c>
      <c r="D203" t="n">
        <v>201</v>
      </c>
      <c r="E203" s="3" t="n">
        <v>45813</v>
      </c>
      <c r="F203" t="inlineStr">
        <is>
          <t>Iniciativa</t>
        </is>
      </c>
      <c r="G203" t="inlineStr">
        <is>
          <t>Dictamen con minuta de decreto por el cual se reforman y adicionan diversas disposiciones de la Ley de Arbolado y Áreas Verdes Urbanas del estado de Puebla</t>
        </is>
      </c>
      <c r="H203" t="n">
        <v>5</v>
      </c>
      <c r="I203" t="inlineStr">
        <is>
          <t>Medio Ambiente</t>
        </is>
      </c>
      <c r="J203" t="n">
        <v>34</v>
      </c>
      <c r="K203" t="n">
        <v>0</v>
      </c>
      <c r="L203" t="n">
        <v>5</v>
      </c>
      <c r="M203" t="n">
        <v>0</v>
      </c>
      <c r="N203">
        <f>SUM(J203:M203)</f>
        <v/>
      </c>
      <c r="O203" s="4">
        <f>SUM(J203:L203)/SUM(J203:M203)</f>
        <v/>
      </c>
      <c r="P203" s="5">
        <f>MAX(J203:L203)/SUM(J203:L203)</f>
        <v/>
      </c>
    </row>
    <row r="204">
      <c r="A204" t="inlineStr">
        <is>
          <t>Primer año</t>
        </is>
      </c>
      <c r="B204" t="inlineStr">
        <is>
          <t>Tercer periodo</t>
        </is>
      </c>
      <c r="C204" t="n">
        <v>31</v>
      </c>
      <c r="D204" t="n">
        <v>202</v>
      </c>
      <c r="E204" s="3" t="n">
        <v>45813</v>
      </c>
      <c r="F204" t="inlineStr">
        <is>
          <t>Iniciativa</t>
        </is>
      </c>
      <c r="G204" t="inlineStr">
        <is>
          <t>Dictamen con minuta de decreto por el cual se reforman y adicionan diversas disposiciones del decreto del honorable congreso del estado, por el que crea el organismo público descentralizado denominado “Ciudad Modelo”</t>
        </is>
      </c>
      <c r="H204" t="n">
        <v>18</v>
      </c>
      <c r="I204" t="inlineStr">
        <is>
          <t>Administración Pública</t>
        </is>
      </c>
      <c r="J204" t="n">
        <v>39</v>
      </c>
      <c r="K204" t="n">
        <v>0</v>
      </c>
      <c r="L204" t="n">
        <v>0</v>
      </c>
      <c r="M204" t="n">
        <v>0</v>
      </c>
      <c r="N204">
        <f>SUM(J204:M204)</f>
        <v/>
      </c>
      <c r="O204" s="4">
        <f>SUM(J204:L204)/SUM(J204:M204)</f>
        <v/>
      </c>
      <c r="P204" s="5">
        <f>MAX(J204:L204)/SUM(J204:L204)</f>
        <v/>
      </c>
    </row>
    <row r="205">
      <c r="A205" t="inlineStr">
        <is>
          <t>Primer año</t>
        </is>
      </c>
      <c r="B205" t="inlineStr">
        <is>
          <t>Tercer periodo</t>
        </is>
      </c>
      <c r="C205" t="n">
        <v>32</v>
      </c>
      <c r="D205" t="n">
        <v>203</v>
      </c>
      <c r="E205" s="3" t="n">
        <v>45813</v>
      </c>
      <c r="F205" t="inlineStr">
        <is>
          <t>Iniciativa</t>
        </is>
      </c>
      <c r="G205" t="inlineStr">
        <is>
          <t>Dictamen con minuta de decreto por el cual se autoriza al gobierno del estado de Puebla, la enajenación bajo la figura de donación a título gratuito respecto de una superficie total de 4,441.17 metros cuadrados a favor del sistema municipal DIF del honorable ayuntamiento del municipio de Puebla</t>
        </is>
      </c>
      <c r="H205" t="n">
        <v>7</v>
      </c>
      <c r="I205" t="inlineStr">
        <is>
          <t>Impuestos, Finanzas Públicas, Patrimonio estatal y municipal</t>
        </is>
      </c>
      <c r="J205" t="n">
        <v>39</v>
      </c>
      <c r="K205" t="n">
        <v>0</v>
      </c>
      <c r="L205" t="n">
        <v>0</v>
      </c>
      <c r="M205" t="n">
        <v>0</v>
      </c>
      <c r="N205">
        <f>SUM(J205:M205)</f>
        <v/>
      </c>
      <c r="O205" s="4">
        <f>SUM(J205:L205)/SUM(J205:M205)</f>
        <v/>
      </c>
      <c r="P205" s="5">
        <f>MAX(J205:L205)/SUM(J205:L205)</f>
        <v/>
      </c>
    </row>
    <row r="206">
      <c r="A206" t="inlineStr">
        <is>
          <t>Primer año</t>
        </is>
      </c>
      <c r="B206" t="inlineStr">
        <is>
          <t>Tercer periodo</t>
        </is>
      </c>
      <c r="C206" t="n">
        <v>33</v>
      </c>
      <c r="D206" t="n">
        <v>204</v>
      </c>
      <c r="E206" s="3" t="n">
        <v>45813</v>
      </c>
      <c r="F206" t="inlineStr">
        <is>
          <t>Iniciativa</t>
        </is>
      </c>
      <c r="G206" t="inlineStr">
        <is>
          <t>Dictamen con minuta de decreto por el cual se autoriza al gobierno del estado de Puebla, la enajenación bajo la figura de donación a título gratuito de una superficie total de 45,080.06 metros cuadrados a favor del Instituto del Fondo Nacional de la Vivienda para los Trabajadores</t>
        </is>
      </c>
      <c r="H206" t="n">
        <v>7</v>
      </c>
      <c r="I206" t="inlineStr">
        <is>
          <t>Impuestos, Finanzas Públicas, Patrimonio estatal y municipal</t>
        </is>
      </c>
      <c r="J206" t="n">
        <v>39</v>
      </c>
      <c r="K206" t="n">
        <v>0</v>
      </c>
      <c r="L206" t="n">
        <v>0</v>
      </c>
      <c r="M206" t="n">
        <v>0</v>
      </c>
      <c r="N206">
        <f>SUM(J206:M206)</f>
        <v/>
      </c>
      <c r="O206" s="4">
        <f>SUM(J206:L206)/SUM(J206:M206)</f>
        <v/>
      </c>
      <c r="P206" s="5">
        <f>MAX(J206:L206)/SUM(J206:L206)</f>
        <v/>
      </c>
    </row>
    <row r="207">
      <c r="A207" t="inlineStr">
        <is>
          <t>Primer año</t>
        </is>
      </c>
      <c r="B207" t="inlineStr">
        <is>
          <t>Tercer periodo</t>
        </is>
      </c>
      <c r="C207" t="n">
        <v>34</v>
      </c>
      <c r="D207" t="n">
        <v>205</v>
      </c>
      <c r="E207" s="3" t="n">
        <v>45813</v>
      </c>
      <c r="F207" t="inlineStr">
        <is>
          <t>Iniciativa</t>
        </is>
      </c>
      <c r="G207" t="inlineStr">
        <is>
          <t>Dictamen con minuta de decreto por el cual se reforma la denominación del capítulo XIX del título décimo segundo y el primer párrafo del artículo 309; y se adiciona un tercer párrafo al artículo 259 bis y el 259 bis 1 de la Ley Estatal de Salud</t>
        </is>
      </c>
      <c r="H207" t="n">
        <v>6</v>
      </c>
      <c r="I207" t="inlineStr">
        <is>
          <t>Salud</t>
        </is>
      </c>
      <c r="J207" t="n">
        <v>39</v>
      </c>
      <c r="K207" t="n">
        <v>0</v>
      </c>
      <c r="L207" t="n">
        <v>0</v>
      </c>
      <c r="M207" t="n">
        <v>0</v>
      </c>
      <c r="N207">
        <f>SUM(J207:M207)</f>
        <v/>
      </c>
      <c r="O207" s="4">
        <f>SUM(J207:L207)/SUM(J207:M207)</f>
        <v/>
      </c>
      <c r="P207" s="5">
        <f>MAX(J207:L207)/SUM(J207:L207)</f>
        <v/>
      </c>
    </row>
    <row r="208">
      <c r="A208" t="inlineStr">
        <is>
          <t>Primer año</t>
        </is>
      </c>
      <c r="B208" t="inlineStr">
        <is>
          <t>Tercer periodo</t>
        </is>
      </c>
      <c r="C208" t="n">
        <v>35</v>
      </c>
      <c r="D208" t="n">
        <v>206</v>
      </c>
      <c r="E208" s="3" t="n">
        <v>45813</v>
      </c>
      <c r="F208" t="inlineStr">
        <is>
          <t>Iniciativa</t>
        </is>
      </c>
      <c r="G208" t="inlineStr">
        <is>
          <t>Dictamen con minuta de decreto por el cual se expide la Ley para la Prevención Social y Comunitaria de la Violencia y la Delincuencia del estado de Puebla</t>
        </is>
      </c>
      <c r="H208" t="n">
        <v>3</v>
      </c>
      <c r="I208" t="inlineStr">
        <is>
          <t>Seguridad Pública, Protección Civil y Narcotráfico</t>
        </is>
      </c>
      <c r="J208" t="n">
        <v>39</v>
      </c>
      <c r="K208" t="n">
        <v>0</v>
      </c>
      <c r="L208" t="n">
        <v>0</v>
      </c>
      <c r="M208" t="n">
        <v>0</v>
      </c>
      <c r="N208">
        <f>SUM(J208:M208)</f>
        <v/>
      </c>
      <c r="O208" s="4">
        <f>SUM(J208:L208)/SUM(J208:M208)</f>
        <v/>
      </c>
      <c r="P208" s="5">
        <f>MAX(J208:L208)/SUM(J208:L208)</f>
        <v/>
      </c>
    </row>
    <row r="209">
      <c r="A209" t="inlineStr">
        <is>
          <t>Primer año</t>
        </is>
      </c>
      <c r="B209" t="inlineStr">
        <is>
          <t>Tercer periodo</t>
        </is>
      </c>
      <c r="C209" t="n">
        <v>36</v>
      </c>
      <c r="D209" t="n">
        <v>207</v>
      </c>
      <c r="E209" s="3" t="n">
        <v>45813</v>
      </c>
      <c r="F209" t="inlineStr">
        <is>
          <t>Punto de Acuerdo</t>
        </is>
      </c>
      <c r="G209" t="inlineStr">
        <is>
          <t>Acuerdo por el que se exhorta a la secretaría de salud del estado para que a través del consejo estatal contra las adicciones y con la colaboración de las jurisdicciones sanitarias y de la comisión de derechos humanos del estado de Puebla</t>
        </is>
      </c>
      <c r="H209" t="n">
        <v>6</v>
      </c>
      <c r="I209" t="inlineStr">
        <is>
          <t>Salud</t>
        </is>
      </c>
      <c r="J209" t="n">
        <v>39</v>
      </c>
      <c r="K209" t="n">
        <v>0</v>
      </c>
      <c r="L209" t="n">
        <v>0</v>
      </c>
      <c r="M209" t="n">
        <v>0</v>
      </c>
      <c r="N209">
        <f>SUM(J209:M209)</f>
        <v/>
      </c>
      <c r="O209" s="4">
        <f>SUM(J209:L209)/SUM(J209:M209)</f>
        <v/>
      </c>
      <c r="P209" s="5">
        <f>MAX(J209:L209)/SUM(J209:L209)</f>
        <v/>
      </c>
    </row>
    <row r="210">
      <c r="A210" t="inlineStr">
        <is>
          <t>Primer año</t>
        </is>
      </c>
      <c r="B210" t="inlineStr">
        <is>
          <t>Tercer periodo</t>
        </is>
      </c>
      <c r="C210" t="n">
        <v>37</v>
      </c>
      <c r="D210" t="n">
        <v>208</v>
      </c>
      <c r="E210" s="3" t="n">
        <v>45813</v>
      </c>
      <c r="F210" t="inlineStr">
        <is>
          <t>Punto de Acuerdo</t>
        </is>
      </c>
      <c r="G210" t="inlineStr">
        <is>
          <t>Acuerdo por el que se exhorta a la secretaría de desarrollo económico y trabajo del estado de Puebla para que, conforme a sus atribuciones, implemente ferias de empleo permanentes dirigidas a madres solteras</t>
        </is>
      </c>
      <c r="H210" t="n">
        <v>16</v>
      </c>
      <c r="I210" t="inlineStr">
        <is>
          <t>Trabajo y Previsión Social</t>
        </is>
      </c>
      <c r="J210" t="n">
        <v>39</v>
      </c>
      <c r="K210" t="n">
        <v>0</v>
      </c>
      <c r="L210" t="n">
        <v>0</v>
      </c>
      <c r="M210" t="n">
        <v>0</v>
      </c>
      <c r="N210">
        <f>SUM(J210:M210)</f>
        <v/>
      </c>
      <c r="O210" s="4">
        <f>SUM(J210:L210)/SUM(J210:M210)</f>
        <v/>
      </c>
      <c r="P210" s="5">
        <f>MAX(J210:L210)/SUM(J210:L210)</f>
        <v/>
      </c>
    </row>
    <row r="211">
      <c r="A211" t="inlineStr">
        <is>
          <t>Primer año</t>
        </is>
      </c>
      <c r="B211" t="inlineStr">
        <is>
          <t>Tercer periodo</t>
        </is>
      </c>
      <c r="C211" t="n">
        <v>38</v>
      </c>
      <c r="D211" t="n">
        <v>209</v>
      </c>
      <c r="E211" s="3" t="n">
        <v>45813</v>
      </c>
      <c r="F211" t="inlineStr">
        <is>
          <t>Punto de Acuerdo</t>
        </is>
      </c>
      <c r="G211" t="inlineStr">
        <is>
          <t>Acuerdo por el que se exhorta a los doscientos quince ayuntamientos y a los dos concejos municipales del estado de Puebla, para que lleven a cabo una evaluación integral de sus administraciones</t>
        </is>
      </c>
      <c r="H211" t="n">
        <v>18</v>
      </c>
      <c r="I211" t="inlineStr">
        <is>
          <t>Administración Pública</t>
        </is>
      </c>
      <c r="J211" t="n">
        <v>39</v>
      </c>
      <c r="K211" t="n">
        <v>0</v>
      </c>
      <c r="L211" t="n">
        <v>0</v>
      </c>
      <c r="M211" t="n">
        <v>0</v>
      </c>
      <c r="N211">
        <f>SUM(J211:M211)</f>
        <v/>
      </c>
      <c r="O211" s="4">
        <f>SUM(J211:L211)/SUM(J211:M211)</f>
        <v/>
      </c>
      <c r="P211" s="5">
        <f>MAX(J211:L211)/SUM(J211:L211)</f>
        <v/>
      </c>
    </row>
    <row r="212">
      <c r="A212" t="inlineStr">
        <is>
          <t>Primer año</t>
        </is>
      </c>
      <c r="B212" t="inlineStr">
        <is>
          <t>Tercer periodo</t>
        </is>
      </c>
      <c r="C212" t="n">
        <v>39</v>
      </c>
      <c r="D212" t="n">
        <v>210</v>
      </c>
      <c r="E212" s="3" t="n">
        <v>45820</v>
      </c>
      <c r="F212" t="inlineStr">
        <is>
          <t>Iniciativa</t>
        </is>
      </c>
      <c r="G212" t="inlineStr">
        <is>
          <t>Dictamen con minuta de decreto por el cual se reforman y adicionan diversas disposiciones del Código Penal del Estado libre y soberano de</t>
        </is>
      </c>
      <c r="H212" t="n">
        <v>14</v>
      </c>
      <c r="I212" t="inlineStr">
        <is>
          <t>Justicia y Estado de Derecho</t>
        </is>
      </c>
      <c r="J212" t="n">
        <v>34</v>
      </c>
      <c r="K212" t="n">
        <v>6</v>
      </c>
      <c r="L212" t="n">
        <v>1</v>
      </c>
      <c r="M212" t="n">
        <v>0</v>
      </c>
      <c r="N212">
        <f>SUM(J212:M212)</f>
        <v/>
      </c>
      <c r="O212" s="4">
        <f>SUM(J212:L212)/SUM(J212:M212)</f>
        <v/>
      </c>
      <c r="P212" s="5">
        <f>MAX(J212:L212)/SUM(J212:L212)</f>
        <v/>
      </c>
    </row>
    <row r="213">
      <c r="A213" t="inlineStr">
        <is>
          <t>Primer año</t>
        </is>
      </c>
      <c r="B213" t="inlineStr">
        <is>
          <t>Tercer periodo</t>
        </is>
      </c>
      <c r="C213" t="n">
        <v>40</v>
      </c>
      <c r="D213" t="n">
        <v>211</v>
      </c>
      <c r="E213" s="3" t="n">
        <v>45820</v>
      </c>
      <c r="F213" t="inlineStr">
        <is>
          <t>Punto de Acuerdo</t>
        </is>
      </c>
      <c r="G213" t="inlineStr">
        <is>
          <t>Acuerdo por el que se exhorta a Carreteras de Cuota</t>
        </is>
      </c>
      <c r="H213" t="n">
        <v>11</v>
      </c>
      <c r="I213" t="inlineStr">
        <is>
          <t>Infraestructura, Movilidad y Transporte</t>
        </is>
      </c>
      <c r="J213" t="n">
        <v>41</v>
      </c>
      <c r="K213" t="n">
        <v>0</v>
      </c>
      <c r="L213" t="n">
        <v>0</v>
      </c>
      <c r="M213" t="n">
        <v>0</v>
      </c>
      <c r="N213">
        <f>SUM(J213:M213)</f>
        <v/>
      </c>
      <c r="O213" s="4">
        <f>SUM(J213:L213)/SUM(J213:M213)</f>
        <v/>
      </c>
      <c r="P213" s="5">
        <f>MAX(J213:L213)/SUM(J213:L213)</f>
        <v/>
      </c>
    </row>
    <row r="214">
      <c r="A214" t="inlineStr">
        <is>
          <t>Primer año</t>
        </is>
      </c>
      <c r="B214" t="inlineStr">
        <is>
          <t>Tercer periodo</t>
        </is>
      </c>
      <c r="C214" t="n">
        <v>41</v>
      </c>
      <c r="D214" t="n">
        <v>212</v>
      </c>
      <c r="E214" s="3" t="n">
        <v>45826</v>
      </c>
      <c r="F214" t="inlineStr">
        <is>
          <t>Iniciativa</t>
        </is>
      </c>
      <c r="G214" t="inlineStr">
        <is>
          <t>Dictamen con minuta de decreto por el cual se reforman y adicionan diversas disposiciones de la Ley de Movilidad y Seguridad Vial del estado de Puebla</t>
        </is>
      </c>
      <c r="H214" t="n">
        <v>11</v>
      </c>
      <c r="I214" t="inlineStr">
        <is>
          <t>Infraestructura, Movilidad y Transporte</t>
        </is>
      </c>
      <c r="J214" t="n">
        <v>37</v>
      </c>
      <c r="K214" t="n">
        <v>2</v>
      </c>
      <c r="L214" t="n">
        <v>0</v>
      </c>
      <c r="M214" t="n">
        <v>2</v>
      </c>
      <c r="N214">
        <f>SUM(J214:M214)</f>
        <v/>
      </c>
      <c r="O214" s="4">
        <f>SUM(J214:L214)/SUM(J214:M214)</f>
        <v/>
      </c>
      <c r="P214" s="5">
        <f>MAX(J214:L214)/SUM(J214:L214)</f>
        <v/>
      </c>
    </row>
    <row r="215">
      <c r="A215" t="inlineStr">
        <is>
          <t>Primer año</t>
        </is>
      </c>
      <c r="B215" t="inlineStr">
        <is>
          <t>Tercer periodo</t>
        </is>
      </c>
      <c r="C215" t="n">
        <v>42</v>
      </c>
      <c r="D215" t="n">
        <v>213</v>
      </c>
      <c r="E215" s="3" t="n">
        <v>45826</v>
      </c>
      <c r="F215" t="inlineStr">
        <is>
          <t>Iniciativa</t>
        </is>
      </c>
      <c r="G215" t="inlineStr">
        <is>
          <t>Dictamen con minuta de decreto por el cual se reforman la fracción XII del artículo 31, la fracción XLVIII del 35, la fracción XXVI del 36, la fracción XX del 37, la fracción XV del 42, el acápite del 43, las fracciones XI, XIV y XLVII del 44 y la denominación del capítulo XIII del título II “de la administración pública centralizada”; todos de la Ley Orgánica de la Administración Pública del estado de Puebla</t>
        </is>
      </c>
      <c r="H215" t="n">
        <v>18</v>
      </c>
      <c r="I215" t="inlineStr">
        <is>
          <t>Administración Pública</t>
        </is>
      </c>
      <c r="J215" t="n">
        <v>39</v>
      </c>
      <c r="K215" t="n">
        <v>0</v>
      </c>
      <c r="L215" t="n">
        <v>0</v>
      </c>
      <c r="M215" t="n">
        <v>2</v>
      </c>
      <c r="N215">
        <f>SUM(J215:M215)</f>
        <v/>
      </c>
      <c r="O215" s="4">
        <f>SUM(J215:L215)/SUM(J215:M215)</f>
        <v/>
      </c>
      <c r="P215" s="5">
        <f>MAX(J215:L215)/SUM(J215:L215)</f>
        <v/>
      </c>
    </row>
    <row r="216">
      <c r="A216" t="inlineStr">
        <is>
          <t>Primer año</t>
        </is>
      </c>
      <c r="B216" t="inlineStr">
        <is>
          <t>Tercer periodo</t>
        </is>
      </c>
      <c r="C216" t="n">
        <v>43</v>
      </c>
      <c r="D216" t="n">
        <v>214</v>
      </c>
      <c r="E216" s="3" t="n">
        <v>45826</v>
      </c>
      <c r="F216" t="inlineStr">
        <is>
          <t>Punto de Acuerdo</t>
        </is>
      </c>
      <c r="G216" t="inlineStr">
        <is>
          <t>Acuerdo por el que se exhorta a la Secretaría de Desarrollo Económico y Trabajo para que, en coordinación con la Secretaría de las Mujeres, la Secretaría de Arte y Cultura, la Secretaría de Educación y el Sistema Estatal DIF, así como con los doscientos catorce ayuntamientos y tres concejos municipales, implemente programas dirigidos a las mujeres jubiladas</t>
        </is>
      </c>
      <c r="H216" t="n">
        <v>2</v>
      </c>
      <c r="I216" t="inlineStr">
        <is>
          <t>Pobreza y Política Social</t>
        </is>
      </c>
      <c r="J216" t="n">
        <v>39</v>
      </c>
      <c r="K216" t="n">
        <v>0</v>
      </c>
      <c r="L216" t="n">
        <v>0</v>
      </c>
      <c r="M216" t="n">
        <v>0</v>
      </c>
      <c r="N216">
        <f>SUM(J216:M216)</f>
        <v/>
      </c>
      <c r="O216" s="4">
        <f>SUM(J216:L216)/SUM(J216:M216)</f>
        <v/>
      </c>
      <c r="P216" s="5">
        <f>MAX(J216:L216)/SUM(J216:L216)</f>
        <v/>
      </c>
    </row>
    <row r="217">
      <c r="A217" t="inlineStr">
        <is>
          <t>Primer año</t>
        </is>
      </c>
      <c r="B217" t="inlineStr">
        <is>
          <t>Tercer periodo</t>
        </is>
      </c>
      <c r="C217" t="n">
        <v>44</v>
      </c>
      <c r="D217" t="n">
        <v>215</v>
      </c>
      <c r="E217" s="3" t="n">
        <v>45826</v>
      </c>
      <c r="F217" t="inlineStr">
        <is>
          <t>Punto de Acuerdo</t>
        </is>
      </c>
      <c r="G217" t="inlineStr">
        <is>
          <t>Acuerdo por el que se exhorta a la Secretaría de Gobernación del estado para que, a través de la Dirección General del Registro del Estado Civil de las Personas, difunda e implemente las acciones necesarias para agilizar la emisión de la clave única de registro de población (CURP) y de las actas de nacimiento de las niñas, niños y adolescentes repatriados</t>
        </is>
      </c>
      <c r="H217" t="n">
        <v>9</v>
      </c>
      <c r="I217" t="inlineStr">
        <is>
          <t>Migración y fronteras</t>
        </is>
      </c>
      <c r="J217" t="n">
        <v>39</v>
      </c>
      <c r="K217" t="n">
        <v>0</v>
      </c>
      <c r="L217" t="n">
        <v>0</v>
      </c>
      <c r="M217" t="n">
        <v>0</v>
      </c>
      <c r="N217">
        <f>SUM(J217:M217)</f>
        <v/>
      </c>
      <c r="O217" s="4">
        <f>SUM(J217:L217)/SUM(J217:M217)</f>
        <v/>
      </c>
      <c r="P217" s="5">
        <f>MAX(J217:L217)/SUM(J217:L217)</f>
        <v/>
      </c>
    </row>
    <row r="218">
      <c r="A218" t="inlineStr">
        <is>
          <t>Primer año</t>
        </is>
      </c>
      <c r="B218" t="inlineStr">
        <is>
          <t>Tercer periodo</t>
        </is>
      </c>
      <c r="C218" t="n">
        <v>45</v>
      </c>
      <c r="D218" t="n">
        <v>216</v>
      </c>
      <c r="E218" s="3" t="n">
        <v>45826</v>
      </c>
      <c r="F218" t="inlineStr">
        <is>
          <t>Punto de Acuerdo</t>
        </is>
      </c>
      <c r="G218" t="inlineStr">
        <is>
          <t>Acuerdo por el que se exhorta a los doscientos catorce ayuntamientos y tres concejos municipales del estado, para que armonicen o, en su caso, emitan su normatividad en materia de movilidad y seguridad vial</t>
        </is>
      </c>
      <c r="H218" t="n">
        <v>11</v>
      </c>
      <c r="I218" t="inlineStr">
        <is>
          <t>Infraestructura, Movilidad y Transporte</t>
        </is>
      </c>
      <c r="J218" t="n">
        <v>39</v>
      </c>
      <c r="K218" t="n">
        <v>0</v>
      </c>
      <c r="L218" t="n">
        <v>0</v>
      </c>
      <c r="M218" t="n">
        <v>0</v>
      </c>
      <c r="N218">
        <f>SUM(J218:M218)</f>
        <v/>
      </c>
      <c r="O218" s="4">
        <f>SUM(J218:L218)/SUM(J218:M218)</f>
        <v/>
      </c>
      <c r="P218" s="5">
        <f>MAX(J218:L218)/SUM(J218:L218)</f>
        <v/>
      </c>
    </row>
    <row r="219">
      <c r="A219" t="inlineStr">
        <is>
          <t>Primer año</t>
        </is>
      </c>
      <c r="B219" t="inlineStr">
        <is>
          <t>Tercer periodo</t>
        </is>
      </c>
      <c r="C219" t="n">
        <v>46</v>
      </c>
      <c r="D219" t="n">
        <v>217</v>
      </c>
      <c r="E219" s="3" t="n">
        <v>45831</v>
      </c>
      <c r="F219" t="inlineStr">
        <is>
          <t>Iniciativa</t>
        </is>
      </c>
      <c r="G219" t="inlineStr">
        <is>
          <t>Dictamen con minuta de decreto por el cual se revoca el mandato del presidente municipal, las regidoras y los regidores y de la síndica municipal, y se declara la desaparición del ayuntamiento de ahuazotepec</t>
        </is>
      </c>
      <c r="H219" t="n">
        <v>18</v>
      </c>
      <c r="I219" t="inlineStr">
        <is>
          <t>Administración Pública</t>
        </is>
      </c>
      <c r="J219" t="n">
        <v>31</v>
      </c>
      <c r="K219" t="n">
        <v>2</v>
      </c>
      <c r="L219" t="n">
        <v>4</v>
      </c>
      <c r="M219" t="n">
        <v>4</v>
      </c>
      <c r="N219">
        <f>SUM(J219:M219)</f>
        <v/>
      </c>
      <c r="O219" s="4">
        <f>SUM(J219:L219)/SUM(J219:M219)</f>
        <v/>
      </c>
      <c r="P219" s="5">
        <f>MAX(J219:L219)/SUM(J219:L219)</f>
        <v/>
      </c>
    </row>
    <row r="220">
      <c r="A220" t="inlineStr">
        <is>
          <t>Primer año</t>
        </is>
      </c>
      <c r="B220" t="inlineStr">
        <is>
          <t>Tercer periodo</t>
        </is>
      </c>
      <c r="C220" t="n">
        <v>47</v>
      </c>
      <c r="D220" t="n">
        <v>218</v>
      </c>
      <c r="E220" s="3" t="n">
        <v>45831</v>
      </c>
      <c r="F220" t="inlineStr">
        <is>
          <t>Iniciativa</t>
        </is>
      </c>
      <c r="G220" t="inlineStr">
        <is>
          <t>Dictamen con minuta de decreto por el cual se revoca el mandato del presidente municipal, las regidoras y los regidores y de la síndica municipal, y se declara la desaparición del ayuntamiento de cuautempan</t>
        </is>
      </c>
      <c r="H220" t="n">
        <v>18</v>
      </c>
      <c r="I220" t="inlineStr">
        <is>
          <t>Administración Pública</t>
        </is>
      </c>
      <c r="J220" t="n">
        <v>31</v>
      </c>
      <c r="K220" t="n">
        <v>2</v>
      </c>
      <c r="L220" t="n">
        <v>4</v>
      </c>
      <c r="M220" t="n">
        <v>4</v>
      </c>
      <c r="N220">
        <f>SUM(J220:M220)</f>
        <v/>
      </c>
      <c r="O220" s="4">
        <f>SUM(J220:L220)/SUM(J220:M220)</f>
        <v/>
      </c>
      <c r="P220" s="5">
        <f>MAX(J220:L220)/SUM(J220:L220)</f>
        <v/>
      </c>
    </row>
    <row r="221">
      <c r="A221" t="inlineStr">
        <is>
          <t>Primer año</t>
        </is>
      </c>
      <c r="B221" t="inlineStr">
        <is>
          <t>Tercer periodo</t>
        </is>
      </c>
      <c r="C221" t="n">
        <v>48</v>
      </c>
      <c r="D221" t="n">
        <v>219</v>
      </c>
      <c r="E221" s="3" t="n">
        <v>45834</v>
      </c>
      <c r="F221" t="inlineStr">
        <is>
          <t>Punto de Acuerdo</t>
        </is>
      </c>
      <c r="G221" t="inlineStr">
        <is>
          <t>Acuerdo para la elección e integración de nueve personas como consejeras del consejo ciudadano del sistema estatal y de la comisión de búsqueda de personas</t>
        </is>
      </c>
      <c r="H221" t="n">
        <v>18</v>
      </c>
      <c r="I221" t="inlineStr">
        <is>
          <t>Administración Pública</t>
        </is>
      </c>
      <c r="J221" t="n">
        <v>37</v>
      </c>
      <c r="K221" t="n">
        <v>0</v>
      </c>
      <c r="L221" t="n">
        <v>0</v>
      </c>
      <c r="M221" t="n">
        <v>0</v>
      </c>
      <c r="N221">
        <f>SUM(J221:M221)</f>
        <v/>
      </c>
      <c r="O221" s="4">
        <f>SUM(J221:L221)/SUM(J221:M221)</f>
        <v/>
      </c>
      <c r="P221" s="5">
        <f>MAX(J221:L221)/SUM(J221:L221)</f>
        <v/>
      </c>
    </row>
    <row r="222">
      <c r="A222" t="inlineStr">
        <is>
          <t>Primer año</t>
        </is>
      </c>
      <c r="B222" t="inlineStr">
        <is>
          <t>Tercer periodo</t>
        </is>
      </c>
      <c r="C222" t="n">
        <v>49</v>
      </c>
      <c r="D222" t="n">
        <v>220</v>
      </c>
      <c r="E222" s="3" t="n">
        <v>45834</v>
      </c>
      <c r="F222" t="inlineStr">
        <is>
          <t>Iniciativa</t>
        </is>
      </c>
      <c r="G222" t="inlineStr">
        <is>
          <t>Dictamen con minuta de decreto por el cual se reforma la fracción XIII del artículo 9 de la Ley Orgánica del Centro de Conciliación Laboral del Estado</t>
        </is>
      </c>
      <c r="H222" t="n">
        <v>16</v>
      </c>
      <c r="I222" t="inlineStr">
        <is>
          <t>Trabajo y Previsión Social</t>
        </is>
      </c>
      <c r="J222" t="n">
        <v>37</v>
      </c>
      <c r="K222" t="n">
        <v>0</v>
      </c>
      <c r="L222" t="n">
        <v>0</v>
      </c>
      <c r="M222" t="n">
        <v>0</v>
      </c>
      <c r="N222">
        <f>SUM(J222:M222)</f>
        <v/>
      </c>
      <c r="O222" s="4">
        <f>SUM(J222:L222)/SUM(J222:M222)</f>
        <v/>
      </c>
      <c r="P222" s="5">
        <f>MAX(J222:L222)/SUM(J222:L222)</f>
        <v/>
      </c>
    </row>
    <row r="223">
      <c r="A223" t="inlineStr">
        <is>
          <t>Primer año</t>
        </is>
      </c>
      <c r="B223" t="inlineStr">
        <is>
          <t>Tercer periodo</t>
        </is>
      </c>
      <c r="C223" t="n">
        <v>50</v>
      </c>
      <c r="D223" t="n">
        <v>221</v>
      </c>
      <c r="E223" s="3" t="n">
        <v>45834</v>
      </c>
      <c r="F223" t="inlineStr">
        <is>
          <t>Iniciativa</t>
        </is>
      </c>
      <c r="G223" t="inlineStr">
        <is>
          <t>Dictamen con minuta de decreto por el cual se reforma el tercer párrafo del artículo 162 de la Ley para la Protección del Ambiente Natural y el Desarrollo Sustentable del Estado</t>
        </is>
      </c>
      <c r="H223" t="n">
        <v>5</v>
      </c>
      <c r="I223" t="inlineStr">
        <is>
          <t>Medio Ambiente</t>
        </is>
      </c>
      <c r="J223" t="n">
        <v>37</v>
      </c>
      <c r="K223" t="n">
        <v>0</v>
      </c>
      <c r="L223" t="n">
        <v>0</v>
      </c>
      <c r="M223" t="n">
        <v>0</v>
      </c>
      <c r="N223">
        <f>SUM(J223:M223)</f>
        <v/>
      </c>
      <c r="O223" s="4">
        <f>SUM(J223:L223)/SUM(J223:M223)</f>
        <v/>
      </c>
      <c r="P223" s="5">
        <f>MAX(J223:L223)/SUM(J223:L223)</f>
        <v/>
      </c>
    </row>
    <row r="224">
      <c r="A224" t="inlineStr">
        <is>
          <t>Primer año</t>
        </is>
      </c>
      <c r="B224" t="inlineStr">
        <is>
          <t>Tercer periodo</t>
        </is>
      </c>
      <c r="C224" t="n">
        <v>51</v>
      </c>
      <c r="D224" t="n">
        <v>222</v>
      </c>
      <c r="E224" s="3" t="n">
        <v>45834</v>
      </c>
      <c r="F224" t="inlineStr">
        <is>
          <t>Iniciativa</t>
        </is>
      </c>
      <c r="G224" t="inlineStr">
        <is>
          <t>Dictamen con minuta de decreto por el cual se reforman las fracciones XX y XXI y se adiciona la fracción XXII al apartado A del artículo 4 de la Ley Estatal de Salud</t>
        </is>
      </c>
      <c r="H224" t="n">
        <v>6</v>
      </c>
      <c r="I224" t="inlineStr">
        <is>
          <t>Salud</t>
        </is>
      </c>
      <c r="J224" t="n">
        <v>37</v>
      </c>
      <c r="K224" t="n">
        <v>0</v>
      </c>
      <c r="L224" t="n">
        <v>0</v>
      </c>
      <c r="M224" t="n">
        <v>0</v>
      </c>
      <c r="N224">
        <f>SUM(J224:M224)</f>
        <v/>
      </c>
      <c r="O224" s="4">
        <f>SUM(J224:L224)/SUM(J224:M224)</f>
        <v/>
      </c>
      <c r="P224" s="5">
        <f>MAX(J224:L224)/SUM(J224:L224)</f>
        <v/>
      </c>
    </row>
    <row r="225">
      <c r="A225" t="inlineStr">
        <is>
          <t>Primer año</t>
        </is>
      </c>
      <c r="B225" t="inlineStr">
        <is>
          <t>Tercer periodo</t>
        </is>
      </c>
      <c r="C225" t="n">
        <v>52</v>
      </c>
      <c r="D225" t="n">
        <v>223</v>
      </c>
      <c r="E225" s="3" t="n">
        <v>45834</v>
      </c>
      <c r="F225" t="inlineStr">
        <is>
          <t>Iniciativa</t>
        </is>
      </c>
      <c r="G225" t="inlineStr">
        <is>
          <t>Dictamen con minuta de decreto por el cual se reforman las fracciones I, II y III y se adicionan las fracciones IV y V al artículo 176 de la Ley Estatal de Salud</t>
        </is>
      </c>
      <c r="H225" t="n">
        <v>6</v>
      </c>
      <c r="I225" t="inlineStr">
        <is>
          <t>Salud</t>
        </is>
      </c>
      <c r="J225" t="n">
        <v>37</v>
      </c>
      <c r="K225" t="n">
        <v>0</v>
      </c>
      <c r="L225" t="n">
        <v>0</v>
      </c>
      <c r="M225" t="n">
        <v>0</v>
      </c>
      <c r="N225">
        <f>SUM(J225:M225)</f>
        <v/>
      </c>
      <c r="O225" s="4">
        <f>SUM(J225:L225)/SUM(J225:M225)</f>
        <v/>
      </c>
      <c r="P225" s="5">
        <f>MAX(J225:L225)/SUM(J225:L225)</f>
        <v/>
      </c>
    </row>
    <row r="226">
      <c r="A226" t="inlineStr">
        <is>
          <t>Primer año</t>
        </is>
      </c>
      <c r="B226" t="inlineStr">
        <is>
          <t>Tercer periodo</t>
        </is>
      </c>
      <c r="C226" t="n">
        <v>53</v>
      </c>
      <c r="D226" t="n">
        <v>224</v>
      </c>
      <c r="E226" s="3" t="n">
        <v>45834</v>
      </c>
      <c r="F226" t="inlineStr">
        <is>
          <t>Iniciativa</t>
        </is>
      </c>
      <c r="G226" t="inlineStr">
        <is>
          <t>Dictamen con minuta de decreto por el cual se reforma el artículo 259 quinquies de la Ley Estatal de Salud</t>
        </is>
      </c>
      <c r="H226" t="n">
        <v>6</v>
      </c>
      <c r="I226" t="inlineStr">
        <is>
          <t>Salud</t>
        </is>
      </c>
      <c r="J226" t="n">
        <v>37</v>
      </c>
      <c r="K226" t="n">
        <v>0</v>
      </c>
      <c r="L226" t="n">
        <v>0</v>
      </c>
      <c r="M226" t="n">
        <v>0</v>
      </c>
      <c r="N226">
        <f>SUM(J226:M226)</f>
        <v/>
      </c>
      <c r="O226" s="4">
        <f>SUM(J226:L226)/SUM(J226:M226)</f>
        <v/>
      </c>
      <c r="P226" s="5">
        <f>MAX(J226:L226)/SUM(J226:L226)</f>
        <v/>
      </c>
    </row>
    <row r="227">
      <c r="A227" t="inlineStr">
        <is>
          <t>Primer año</t>
        </is>
      </c>
      <c r="B227" t="inlineStr">
        <is>
          <t>Tercer periodo</t>
        </is>
      </c>
      <c r="C227" t="n">
        <v>54</v>
      </c>
      <c r="D227" t="n">
        <v>225</v>
      </c>
      <c r="E227" s="3" t="n">
        <v>45834</v>
      </c>
      <c r="F227" t="inlineStr">
        <is>
          <t>Punto de Acuerdo</t>
        </is>
      </c>
      <c r="G227" t="inlineStr">
        <is>
          <t>Acuerdo por el que se exhorta a los doscientos doce ayuntamientos y cinco concejos municipales del estado, para que implementen acciones con perspectiva de diversidad sexual y de género en favor de las personas migrantes</t>
        </is>
      </c>
      <c r="H227" t="n">
        <v>2</v>
      </c>
      <c r="I227" t="inlineStr">
        <is>
          <t>Pobreza y Política Social</t>
        </is>
      </c>
      <c r="J227" t="n">
        <v>37</v>
      </c>
      <c r="K227" t="n">
        <v>0</v>
      </c>
      <c r="L227" t="n">
        <v>0</v>
      </c>
      <c r="M227" t="n">
        <v>0</v>
      </c>
      <c r="N227">
        <f>SUM(J227:M227)</f>
        <v/>
      </c>
      <c r="O227" s="4">
        <f>SUM(J227:L227)/SUM(J227:M227)</f>
        <v/>
      </c>
      <c r="P227" s="5">
        <f>MAX(J227:L227)/SUM(J227:L227)</f>
        <v/>
      </c>
    </row>
    <row r="228">
      <c r="A228" t="inlineStr">
        <is>
          <t>Primer año</t>
        </is>
      </c>
      <c r="B228" t="inlineStr">
        <is>
          <t>Tercer periodo</t>
        </is>
      </c>
      <c r="C228" t="n">
        <v>55</v>
      </c>
      <c r="D228" t="n">
        <v>226</v>
      </c>
      <c r="E228" s="3" t="n">
        <v>45834</v>
      </c>
      <c r="F228" t="inlineStr">
        <is>
          <t>Punto de Acuerdo</t>
        </is>
      </c>
      <c r="G228" t="inlineStr">
        <is>
          <t>Acuerdo por el que se exhorta a la Coordinación General de Protección Civil y Gestión del Riesgo de Desastres para que, en coordinación con las unidades municipales, implementen campañas de difusión de mapas de riesgo</t>
        </is>
      </c>
      <c r="H228" t="n">
        <v>3</v>
      </c>
      <c r="I228" t="inlineStr">
        <is>
          <t>Seguridad Pública, Protección Civil y Narcotráfico</t>
        </is>
      </c>
      <c r="J228" t="n">
        <v>37</v>
      </c>
      <c r="K228" t="n">
        <v>0</v>
      </c>
      <c r="L228" t="n">
        <v>0</v>
      </c>
      <c r="M228" t="n">
        <v>0</v>
      </c>
      <c r="N228">
        <f>SUM(J228:M228)</f>
        <v/>
      </c>
      <c r="O228" s="4">
        <f>SUM(J228:L228)/SUM(J228:M228)</f>
        <v/>
      </c>
      <c r="P228" s="5">
        <f>MAX(J228:L228)/SUM(J228:L228)</f>
        <v/>
      </c>
    </row>
    <row r="229">
      <c r="A229" t="inlineStr">
        <is>
          <t>Primer año</t>
        </is>
      </c>
      <c r="B229" t="inlineStr">
        <is>
          <t>Tercer periodo</t>
        </is>
      </c>
      <c r="C229" t="n">
        <v>56</v>
      </c>
      <c r="D229" t="n">
        <v>227</v>
      </c>
      <c r="E229" s="3" t="n">
        <v>45834</v>
      </c>
      <c r="F229" t="inlineStr">
        <is>
          <t>Punto de Acuerdo</t>
        </is>
      </c>
      <c r="G229" t="inlineStr">
        <is>
          <t>Acuerdo por el que se exhorta a los doscientos doce ayuntamientos y cinco concejos municipales del estado de puebla para que elaboren, publiquen o, en su caso, actualicen su programa municipal de desarrollo urbano</t>
        </is>
      </c>
      <c r="H229" t="n">
        <v>11</v>
      </c>
      <c r="I229" t="inlineStr">
        <is>
          <t>Infraestructura, Movilidad y Transporte</t>
        </is>
      </c>
      <c r="J229" t="n">
        <v>37</v>
      </c>
      <c r="K229" t="n">
        <v>0</v>
      </c>
      <c r="L229" t="n">
        <v>0</v>
      </c>
      <c r="M229" t="n">
        <v>0</v>
      </c>
      <c r="N229">
        <f>SUM(J229:M229)</f>
        <v/>
      </c>
      <c r="O229" s="4">
        <f>SUM(J229:L229)/SUM(J229:M229)</f>
        <v/>
      </c>
      <c r="P229" s="5">
        <f>MAX(J229:L229)/SUM(J229:L229)</f>
        <v/>
      </c>
    </row>
    <row r="230">
      <c r="A230" t="inlineStr">
        <is>
          <t>Primer año</t>
        </is>
      </c>
      <c r="B230" t="inlineStr">
        <is>
          <t>Tercer periodo</t>
        </is>
      </c>
      <c r="C230" t="n">
        <v>57</v>
      </c>
      <c r="D230" t="n">
        <v>228</v>
      </c>
      <c r="E230" s="3" t="n">
        <v>45834</v>
      </c>
      <c r="F230" t="inlineStr">
        <is>
          <t>Punto de Acuerdo</t>
        </is>
      </c>
      <c r="G230" t="inlineStr">
        <is>
          <t>Acuerdo por el que se exhorta a la Secretaría de Desarrollo Económico y Trabajo para que, en coordinación con las instancias correspondientes, implementen ferias de empleo permanentes dirigidas a grupos sociales en situación de vulnerabilidad</t>
        </is>
      </c>
      <c r="H230" t="n">
        <v>16</v>
      </c>
      <c r="I230" t="inlineStr">
        <is>
          <t>Trabajo y Previsión Social</t>
        </is>
      </c>
      <c r="J230" t="n">
        <v>37</v>
      </c>
      <c r="K230" t="n">
        <v>0</v>
      </c>
      <c r="L230" t="n">
        <v>0</v>
      </c>
      <c r="M230" t="n">
        <v>0</v>
      </c>
      <c r="N230">
        <f>SUM(J230:M230)</f>
        <v/>
      </c>
      <c r="O230" s="4">
        <f>SUM(J230:L230)/SUM(J230:M230)</f>
        <v/>
      </c>
      <c r="P230" s="5">
        <f>MAX(J230:L230)/SUM(J230:L230)</f>
        <v/>
      </c>
    </row>
    <row r="231">
      <c r="A231" t="inlineStr">
        <is>
          <t>Primer año</t>
        </is>
      </c>
      <c r="B231" t="inlineStr">
        <is>
          <t>Tercer periodo</t>
        </is>
      </c>
      <c r="C231" t="n">
        <v>58</v>
      </c>
      <c r="D231" t="n">
        <v>229</v>
      </c>
      <c r="E231" s="3" t="n">
        <v>45834</v>
      </c>
      <c r="F231" t="inlineStr">
        <is>
          <t>Punto de Acuerdo</t>
        </is>
      </c>
      <c r="G231" t="inlineStr">
        <is>
          <t>Acuerdo por el que se exhorta a la Secretaría de Medio Ambiente, Desarrollo Sustentable y Ordenamiento Territorial para que diseñe y ejecute acciones para fortalecer el desarrollo, vigilancia y custodia de la Reserva de la Biosfera Tehuacán-Cuicatlán</t>
        </is>
      </c>
      <c r="H231" t="n">
        <v>5</v>
      </c>
      <c r="I231" t="inlineStr">
        <is>
          <t>Medio Ambiente</t>
        </is>
      </c>
      <c r="J231" t="n">
        <v>37</v>
      </c>
      <c r="K231" t="n">
        <v>0</v>
      </c>
      <c r="L231" t="n">
        <v>0</v>
      </c>
      <c r="M231" t="n">
        <v>0</v>
      </c>
      <c r="N231">
        <f>SUM(J231:M231)</f>
        <v/>
      </c>
      <c r="O231" s="4">
        <f>SUM(J231:L231)/SUM(J231:M231)</f>
        <v/>
      </c>
      <c r="P231" s="5">
        <f>MAX(J231:L231)/SUM(J231:L231)</f>
        <v/>
      </c>
    </row>
    <row r="232">
      <c r="A232" t="inlineStr">
        <is>
          <t>Primer año</t>
        </is>
      </c>
      <c r="B232" t="inlineStr">
        <is>
          <t>Tercer periodo</t>
        </is>
      </c>
      <c r="C232" t="n">
        <v>59</v>
      </c>
      <c r="D232" t="n">
        <v>230</v>
      </c>
      <c r="E232" s="3" t="n">
        <v>45834</v>
      </c>
      <c r="F232" t="inlineStr">
        <is>
          <t>Punto de Acuerdo</t>
        </is>
      </c>
      <c r="G232" t="inlineStr">
        <is>
          <t>Acuerdo por el que se exhorta a la Comisión de Derechos Humanos del Estado para que realice campañas de información y sensibilización para promover el respeto a la diversidad sexual</t>
        </is>
      </c>
      <c r="H232" t="n">
        <v>20</v>
      </c>
      <c r="I232" t="inlineStr">
        <is>
          <t>Justicia y Estado de Derecho en temas de Mujeres</t>
        </is>
      </c>
      <c r="J232" t="n">
        <v>37</v>
      </c>
      <c r="K232" t="n">
        <v>0</v>
      </c>
      <c r="L232" t="n">
        <v>0</v>
      </c>
      <c r="M232" t="n">
        <v>0</v>
      </c>
      <c r="N232">
        <f>SUM(J232:M232)</f>
        <v/>
      </c>
      <c r="O232" s="4">
        <f>SUM(J232:L232)/SUM(J232:M232)</f>
        <v/>
      </c>
      <c r="P232" s="5">
        <f>MAX(J232:L232)/SUM(J232:L232)</f>
        <v/>
      </c>
    </row>
    <row r="233">
      <c r="A233" t="inlineStr">
        <is>
          <t>Primer año</t>
        </is>
      </c>
      <c r="B233" t="inlineStr">
        <is>
          <t>Tercer periodo</t>
        </is>
      </c>
      <c r="C233" t="n">
        <v>60</v>
      </c>
      <c r="D233" t="n">
        <v>231</v>
      </c>
      <c r="E233" s="3" t="n">
        <v>45834</v>
      </c>
      <c r="F233" t="inlineStr">
        <is>
          <t>Punto de Acuerdo</t>
        </is>
      </c>
      <c r="G233" t="inlineStr">
        <is>
          <t>Acuerdo por el que se exhorta a la Comisión de Derechos Humanos del Estado para que homologue el programa de atención denominado VIH/SIDA y Derechos Humanos con el programa especial de la CNDH</t>
        </is>
      </c>
      <c r="H233" t="n">
        <v>6</v>
      </c>
      <c r="I233" t="inlineStr">
        <is>
          <t>Salud</t>
        </is>
      </c>
      <c r="J233" t="n">
        <v>37</v>
      </c>
      <c r="K233" t="n">
        <v>0</v>
      </c>
      <c r="L233" t="n">
        <v>0</v>
      </c>
      <c r="M233" t="n">
        <v>0</v>
      </c>
      <c r="N233">
        <f>SUM(J233:M233)</f>
        <v/>
      </c>
      <c r="O233" s="4">
        <f>SUM(J233:L233)/SUM(J233:M233)</f>
        <v/>
      </c>
      <c r="P233" s="5">
        <f>MAX(J233:L233)/SUM(J233:L233)</f>
        <v/>
      </c>
    </row>
    <row r="234">
      <c r="A234" t="inlineStr">
        <is>
          <t>Primer año</t>
        </is>
      </c>
      <c r="B234" t="inlineStr">
        <is>
          <t>Tercer periodo</t>
        </is>
      </c>
      <c r="C234" t="n">
        <v>61</v>
      </c>
      <c r="D234" t="n">
        <v>232</v>
      </c>
      <c r="E234" s="3" t="n">
        <v>45834</v>
      </c>
      <c r="F234" t="inlineStr">
        <is>
          <t>Punto de Acuerdo</t>
        </is>
      </c>
      <c r="G234" t="inlineStr">
        <is>
          <t>Acuerdo por el que se exhorta al Instituto Mexicano del Seguro Social, Secretaría de Salud y al ISSSTEP para que garanticen la atención sin discriminación de personas LGBTTTI+</t>
        </is>
      </c>
      <c r="H234" t="n">
        <v>6</v>
      </c>
      <c r="I234" t="inlineStr">
        <is>
          <t>Salud</t>
        </is>
      </c>
      <c r="J234" t="n">
        <v>37</v>
      </c>
      <c r="K234" t="n">
        <v>0</v>
      </c>
      <c r="L234" t="n">
        <v>0</v>
      </c>
      <c r="M234" t="n">
        <v>0</v>
      </c>
      <c r="N234">
        <f>SUM(J234:M234)</f>
        <v/>
      </c>
      <c r="O234" s="4">
        <f>SUM(J234:L234)/SUM(J234:M234)</f>
        <v/>
      </c>
      <c r="P234" s="5">
        <f>MAX(J234:L234)/SUM(J234:L234)</f>
        <v/>
      </c>
    </row>
    <row r="235">
      <c r="A235" t="inlineStr">
        <is>
          <t>Primer año</t>
        </is>
      </c>
      <c r="B235" t="inlineStr">
        <is>
          <t>Tercer periodo</t>
        </is>
      </c>
      <c r="C235" t="n">
        <v>62</v>
      </c>
      <c r="D235" t="n">
        <v>233</v>
      </c>
      <c r="E235" s="3" t="n">
        <v>45841</v>
      </c>
      <c r="F235" t="inlineStr">
        <is>
          <t>Punto de Acuerdo</t>
        </is>
      </c>
      <c r="G235" t="inlineStr">
        <is>
          <t>Acuerdo por el cual la dispensa de lectura del orden del día</t>
        </is>
      </c>
      <c r="H235" t="n">
        <v>19</v>
      </c>
      <c r="I235" t="inlineStr">
        <is>
          <t>Internos del Congreso</t>
        </is>
      </c>
      <c r="J235" t="n">
        <v>41</v>
      </c>
      <c r="K235" t="n">
        <v>0</v>
      </c>
      <c r="L235" t="n">
        <v>0</v>
      </c>
      <c r="M235" t="n">
        <v>0</v>
      </c>
      <c r="N235">
        <f>SUM(J235:M235)</f>
        <v/>
      </c>
      <c r="O235" s="4">
        <f>SUM(J235:L235)/SUM(J235:M235)</f>
        <v/>
      </c>
      <c r="P235" s="5">
        <f>MAX(J235:L235)/SUM(J235:L235)</f>
        <v/>
      </c>
    </row>
    <row r="236">
      <c r="A236" t="inlineStr">
        <is>
          <t>Primer año</t>
        </is>
      </c>
      <c r="B236" t="inlineStr">
        <is>
          <t>Tercer periodo</t>
        </is>
      </c>
      <c r="C236" t="n">
        <v>63</v>
      </c>
      <c r="D236" t="n">
        <v>234</v>
      </c>
      <c r="E236" s="3" t="n">
        <v>45841</v>
      </c>
      <c r="F236" t="inlineStr">
        <is>
          <t>Punto de Acuerdo</t>
        </is>
      </c>
      <c r="G236" t="inlineStr">
        <is>
          <t>Acuerdo por el cual la solicitud para retirar la iniciativa de decreto</t>
        </is>
      </c>
      <c r="H236" t="n">
        <v>19</v>
      </c>
      <c r="I236" t="inlineStr">
        <is>
          <t>Internos del Congreso</t>
        </is>
      </c>
      <c r="J236" t="n">
        <v>41</v>
      </c>
      <c r="K236" t="n">
        <v>0</v>
      </c>
      <c r="L236" t="n">
        <v>0</v>
      </c>
      <c r="M236" t="n">
        <v>0</v>
      </c>
      <c r="N236">
        <f>SUM(J236:M236)</f>
        <v/>
      </c>
      <c r="O236" s="4">
        <f>SUM(J236:L236)/SUM(J236:M236)</f>
        <v/>
      </c>
      <c r="P236" s="5">
        <f>MAX(J236:L236)/SUM(J236:L236)</f>
        <v/>
      </c>
    </row>
    <row r="237">
      <c r="A237" t="inlineStr">
        <is>
          <t>Primer año</t>
        </is>
      </c>
      <c r="B237" t="inlineStr">
        <is>
          <t>Tercer periodo</t>
        </is>
      </c>
      <c r="C237" t="n">
        <v>64</v>
      </c>
      <c r="D237" t="n">
        <v>235</v>
      </c>
      <c r="E237" s="3" t="n">
        <v>45841</v>
      </c>
      <c r="F237" t="inlineStr">
        <is>
          <t>Punto de Acuerdo</t>
        </is>
      </c>
      <c r="G237" t="inlineStr">
        <is>
          <t>Acuerdo por el cual el contenido del acta de la sesión anterior</t>
        </is>
      </c>
      <c r="H237" t="n">
        <v>19</v>
      </c>
      <c r="I237" t="inlineStr">
        <is>
          <t>Internos del Congreso</t>
        </is>
      </c>
      <c r="J237" t="n">
        <v>41</v>
      </c>
      <c r="K237" t="n">
        <v>0</v>
      </c>
      <c r="L237" t="n">
        <v>0</v>
      </c>
      <c r="M237" t="n">
        <v>0</v>
      </c>
      <c r="N237">
        <f>SUM(J237:M237)</f>
        <v/>
      </c>
      <c r="O237" s="4">
        <f>SUM(J237:L237)/SUM(J237:M237)</f>
        <v/>
      </c>
      <c r="P237" s="5">
        <f>MAX(J237:L237)/SUM(J237:L237)</f>
        <v/>
      </c>
    </row>
    <row r="238">
      <c r="A238" t="inlineStr">
        <is>
          <t>Primer año</t>
        </is>
      </c>
      <c r="B238" t="inlineStr">
        <is>
          <t>Tercer periodo</t>
        </is>
      </c>
      <c r="C238" t="n">
        <v>65</v>
      </c>
      <c r="D238" t="n">
        <v>236</v>
      </c>
      <c r="E238" s="3" t="n">
        <v>45841</v>
      </c>
      <c r="F238" t="inlineStr">
        <is>
          <t>Punto de Acuerdo</t>
        </is>
      </c>
      <c r="G238" t="inlineStr">
        <is>
          <t>Acuerdo por el cual la dispensa de lectura de los puntos del cuatro al catorce</t>
        </is>
      </c>
      <c r="H238" t="n">
        <v>19</v>
      </c>
      <c r="I238" t="inlineStr">
        <is>
          <t>Internos del Congreso</t>
        </is>
      </c>
      <c r="J238" t="n">
        <v>41</v>
      </c>
      <c r="K238" t="n">
        <v>0</v>
      </c>
      <c r="L238" t="n">
        <v>0</v>
      </c>
      <c r="M238" t="n">
        <v>0</v>
      </c>
      <c r="N238">
        <f>SUM(J238:M238)</f>
        <v/>
      </c>
      <c r="O238" s="4">
        <f>SUM(J238:L238)/SUM(J238:M238)</f>
        <v/>
      </c>
      <c r="P238" s="5">
        <f>MAX(J238:L238)/SUM(J238:L238)</f>
        <v/>
      </c>
    </row>
    <row r="239">
      <c r="A239" t="inlineStr">
        <is>
          <t>Primer año</t>
        </is>
      </c>
      <c r="B239" t="inlineStr">
        <is>
          <t>Tercer periodo</t>
        </is>
      </c>
      <c r="C239" t="n">
        <v>66</v>
      </c>
      <c r="D239" t="n">
        <v>237</v>
      </c>
      <c r="E239" s="3" t="n">
        <v>45841</v>
      </c>
      <c r="F239" t="inlineStr">
        <is>
          <t>Punto de Acuerdo</t>
        </is>
      </c>
      <c r="G239" t="inlineStr">
        <is>
          <t>Acuerdo por el que se exhorta a los ayuntamientos para crear sus centros de bienestar animal</t>
        </is>
      </c>
      <c r="H239" t="n">
        <v>5</v>
      </c>
      <c r="I239" t="inlineStr">
        <is>
          <t>Medio Ambiente</t>
        </is>
      </c>
      <c r="J239" t="n">
        <v>37</v>
      </c>
      <c r="K239" t="n">
        <v>0</v>
      </c>
      <c r="L239" t="n">
        <v>0</v>
      </c>
      <c r="M239" t="n">
        <v>0</v>
      </c>
      <c r="N239">
        <f>SUM(J239:M239)</f>
        <v/>
      </c>
      <c r="O239" s="4">
        <f>SUM(J239:L239)/SUM(J239:M239)</f>
        <v/>
      </c>
      <c r="P239" s="5">
        <f>MAX(J239:L239)/SUM(J239:L239)</f>
        <v/>
      </c>
    </row>
    <row r="240">
      <c r="A240" t="inlineStr">
        <is>
          <t>Primer año</t>
        </is>
      </c>
      <c r="B240" t="inlineStr">
        <is>
          <t>Tercer periodo</t>
        </is>
      </c>
      <c r="C240" t="n">
        <v>67</v>
      </c>
      <c r="D240" t="n">
        <v>238</v>
      </c>
      <c r="E240" s="3" t="n">
        <v>45841</v>
      </c>
      <c r="F240" t="inlineStr">
        <is>
          <t>Punto de Acuerdo</t>
        </is>
      </c>
      <c r="G240" t="inlineStr">
        <is>
          <t>Acuerdo por el que se exhorta a la delegación regional de la Prodecon</t>
        </is>
      </c>
      <c r="H240" t="n">
        <v>1</v>
      </c>
      <c r="I240" t="inlineStr">
        <is>
          <t>Economía, Comercio y Competitividad</t>
        </is>
      </c>
      <c r="J240" t="n">
        <v>37</v>
      </c>
      <c r="K240" t="n">
        <v>0</v>
      </c>
      <c r="L240" t="n">
        <v>0</v>
      </c>
      <c r="M240" t="n">
        <v>0</v>
      </c>
      <c r="N240">
        <f>SUM(J240:M240)</f>
        <v/>
      </c>
      <c r="O240" s="4">
        <f>SUM(J240:L240)/SUM(J240:M240)</f>
        <v/>
      </c>
      <c r="P240" s="5">
        <f>MAX(J240:L240)/SUM(J240:L240)</f>
        <v/>
      </c>
    </row>
    <row r="241">
      <c r="A241" t="inlineStr">
        <is>
          <t>Primer año</t>
        </is>
      </c>
      <c r="B241" t="inlineStr">
        <is>
          <t>Tercer periodo</t>
        </is>
      </c>
      <c r="C241" t="n">
        <v>68</v>
      </c>
      <c r="D241" t="n">
        <v>239</v>
      </c>
      <c r="E241" s="3" t="n">
        <v>45841</v>
      </c>
      <c r="F241" t="inlineStr">
        <is>
          <t>Punto de Acuerdo</t>
        </is>
      </c>
      <c r="G241" t="inlineStr">
        <is>
          <t>Acuerdo por el que se exhorta a la Secretaría de Agricultura y Desarrollo Rural</t>
        </is>
      </c>
      <c r="H241" t="n">
        <v>12</v>
      </c>
      <c r="I241" t="inlineStr">
        <is>
          <t>Agricultura, Ganadería y Pesca</t>
        </is>
      </c>
      <c r="J241" t="n">
        <v>37</v>
      </c>
      <c r="K241" t="n">
        <v>0</v>
      </c>
      <c r="L241" t="n">
        <v>0</v>
      </c>
      <c r="M241" t="n">
        <v>0</v>
      </c>
      <c r="N241">
        <f>SUM(J241:M241)</f>
        <v/>
      </c>
      <c r="O241" s="4">
        <f>SUM(J241:L241)/SUM(J241:M241)</f>
        <v/>
      </c>
      <c r="P241" s="5">
        <f>MAX(J241:L241)/SUM(J241:L241)</f>
        <v/>
      </c>
    </row>
    <row r="242">
      <c r="A242" t="inlineStr">
        <is>
          <t>Primer año</t>
        </is>
      </c>
      <c r="B242" t="inlineStr">
        <is>
          <t>Tercer periodo</t>
        </is>
      </c>
      <c r="C242" t="n">
        <v>69</v>
      </c>
      <c r="D242" t="n">
        <v>240</v>
      </c>
      <c r="E242" s="3" t="n">
        <v>45841</v>
      </c>
      <c r="F242" t="inlineStr">
        <is>
          <t>Punto de Acuerdo</t>
        </is>
      </c>
      <c r="G242" t="inlineStr">
        <is>
          <t>Acuerdo por el que se exhorta a la Sedatu</t>
        </is>
      </c>
      <c r="H242" t="n">
        <v>18</v>
      </c>
      <c r="I242" t="inlineStr">
        <is>
          <t>Administración Pública</t>
        </is>
      </c>
      <c r="J242" t="n">
        <v>37</v>
      </c>
      <c r="K242" t="n">
        <v>0</v>
      </c>
      <c r="L242" t="n">
        <v>0</v>
      </c>
      <c r="M242" t="n">
        <v>0</v>
      </c>
      <c r="N242">
        <f>SUM(J242:M242)</f>
        <v/>
      </c>
      <c r="O242" s="4">
        <f>SUM(J242:L242)/SUM(J242:M242)</f>
        <v/>
      </c>
      <c r="P242" s="5">
        <f>MAX(J242:L242)/SUM(J242:L242)</f>
        <v/>
      </c>
    </row>
    <row r="243">
      <c r="A243" t="inlineStr">
        <is>
          <t>Primer año</t>
        </is>
      </c>
      <c r="B243" t="inlineStr">
        <is>
          <t>Tercer periodo</t>
        </is>
      </c>
      <c r="C243" t="n">
        <v>70</v>
      </c>
      <c r="D243" t="n">
        <v>241</v>
      </c>
      <c r="E243" s="3" t="n">
        <v>45841</v>
      </c>
      <c r="F243" t="inlineStr">
        <is>
          <t>Punto de Acuerdo</t>
        </is>
      </c>
      <c r="G243" t="inlineStr">
        <is>
          <t>Acuerdo por el que se exhorta al Consejo de Notarios del Estado</t>
        </is>
      </c>
      <c r="H243" t="n">
        <v>7</v>
      </c>
      <c r="I243" t="inlineStr">
        <is>
          <t>Impuestos, Finanzas Públicas, Patrimonio estatal y municipal</t>
        </is>
      </c>
      <c r="J243" t="n">
        <v>38</v>
      </c>
      <c r="K243" t="n">
        <v>0</v>
      </c>
      <c r="L243" t="n">
        <v>0</v>
      </c>
      <c r="M243" t="n">
        <v>0</v>
      </c>
      <c r="N243">
        <f>SUM(J243:M243)</f>
        <v/>
      </c>
      <c r="O243" s="4">
        <f>SUM(J243:L243)/SUM(J243:M243)</f>
        <v/>
      </c>
      <c r="P243" s="5">
        <f>MAX(J243:L243)/SUM(J243:L243)</f>
        <v/>
      </c>
    </row>
    <row r="244">
      <c r="A244" t="inlineStr">
        <is>
          <t>Primer año</t>
        </is>
      </c>
      <c r="B244" t="inlineStr">
        <is>
          <t>Tercer periodo</t>
        </is>
      </c>
      <c r="C244" t="n">
        <v>71</v>
      </c>
      <c r="D244" t="n">
        <v>242</v>
      </c>
      <c r="E244" s="3" t="n">
        <v>45841</v>
      </c>
      <c r="F244" t="inlineStr">
        <is>
          <t>Punto de Acuerdo</t>
        </is>
      </c>
      <c r="G244" t="inlineStr">
        <is>
          <t>Acuerdo por el que se exhorta a los ayuntamientos sobre programas de capacitación para derechos indígenas</t>
        </is>
      </c>
      <c r="H244" t="n">
        <v>2</v>
      </c>
      <c r="I244" t="inlineStr">
        <is>
          <t>Pobreza y Política Social</t>
        </is>
      </c>
      <c r="J244" t="n">
        <v>40</v>
      </c>
      <c r="K244" t="n">
        <v>0</v>
      </c>
      <c r="L244" t="n">
        <v>0</v>
      </c>
      <c r="M244" t="n">
        <v>0</v>
      </c>
      <c r="N244">
        <f>SUM(J244:M244)</f>
        <v/>
      </c>
      <c r="O244" s="4">
        <f>SUM(J244:L244)/SUM(J244:M244)</f>
        <v/>
      </c>
      <c r="P244" s="5">
        <f>MAX(J244:L244)/SUM(J244:L244)</f>
        <v/>
      </c>
    </row>
    <row r="245">
      <c r="A245" t="inlineStr">
        <is>
          <t>Primer año</t>
        </is>
      </c>
      <c r="B245" t="inlineStr">
        <is>
          <t>Tercer periodo</t>
        </is>
      </c>
      <c r="C245" t="n">
        <v>72</v>
      </c>
      <c r="D245" t="n">
        <v>243</v>
      </c>
      <c r="E245" s="3" t="n">
        <v>45841</v>
      </c>
      <c r="F245" t="inlineStr">
        <is>
          <t>Punto de Acuerdo</t>
        </is>
      </c>
      <c r="G245" t="inlineStr">
        <is>
          <t>Acuerdo por el que se exhorta al Instituto Poblano de Asistencia al Migrante</t>
        </is>
      </c>
      <c r="H245" t="n">
        <v>9</v>
      </c>
      <c r="I245" t="inlineStr">
        <is>
          <t>Migración y fronteras</t>
        </is>
      </c>
      <c r="J245" t="n">
        <v>41</v>
      </c>
      <c r="K245" t="n">
        <v>0</v>
      </c>
      <c r="L245" t="n">
        <v>0</v>
      </c>
      <c r="M245" t="n">
        <v>0</v>
      </c>
      <c r="N245">
        <f>SUM(J245:M245)</f>
        <v/>
      </c>
      <c r="O245" s="4">
        <f>SUM(J245:L245)/SUM(J245:M245)</f>
        <v/>
      </c>
      <c r="P245" s="5">
        <f>MAX(J245:L245)/SUM(J245:L245)</f>
        <v/>
      </c>
    </row>
    <row r="246">
      <c r="A246" t="inlineStr">
        <is>
          <t>Primer año</t>
        </is>
      </c>
      <c r="B246" t="inlineStr">
        <is>
          <t>Tercer periodo</t>
        </is>
      </c>
      <c r="C246" t="n">
        <v>73</v>
      </c>
      <c r="D246" t="n">
        <v>244</v>
      </c>
      <c r="E246" s="3" t="n">
        <v>45841</v>
      </c>
      <c r="F246" t="inlineStr">
        <is>
          <t>Punto de Acuerdo</t>
        </is>
      </c>
      <c r="G246" t="inlineStr">
        <is>
          <t>Acuerdo por el que se exhorta a la Secretaría de Bienestar del estado</t>
        </is>
      </c>
      <c r="H246" t="n">
        <v>10</v>
      </c>
      <c r="I246" t="inlineStr">
        <is>
          <t>Transparencia y Rendición de Cuentas</t>
        </is>
      </c>
      <c r="J246" t="n">
        <v>41</v>
      </c>
      <c r="K246" t="n">
        <v>0</v>
      </c>
      <c r="L246" t="n">
        <v>0</v>
      </c>
      <c r="M246" t="n">
        <v>0</v>
      </c>
      <c r="N246">
        <f>SUM(J246:M246)</f>
        <v/>
      </c>
      <c r="O246" s="4">
        <f>SUM(J246:L246)/SUM(J246:M246)</f>
        <v/>
      </c>
      <c r="P246" s="5">
        <f>MAX(J246:L246)/SUM(J246:L246)</f>
        <v/>
      </c>
    </row>
    <row r="247">
      <c r="A247" t="inlineStr">
        <is>
          <t>Primer año</t>
        </is>
      </c>
      <c r="B247" t="inlineStr">
        <is>
          <t>Tercer periodo</t>
        </is>
      </c>
      <c r="C247" t="n">
        <v>74</v>
      </c>
      <c r="D247" t="n">
        <v>245</v>
      </c>
      <c r="E247" s="3" t="n">
        <v>45841</v>
      </c>
      <c r="F247" t="inlineStr">
        <is>
          <t>Punto de Acuerdo</t>
        </is>
      </c>
      <c r="G247" t="inlineStr">
        <is>
          <t>Acuerdo por el que se exhorta a la Secretaría de Medio Ambiente</t>
        </is>
      </c>
      <c r="H247" t="n">
        <v>5</v>
      </c>
      <c r="I247" t="inlineStr">
        <is>
          <t>Medio Ambiente</t>
        </is>
      </c>
      <c r="J247" t="n">
        <v>41</v>
      </c>
      <c r="K247" t="n">
        <v>0</v>
      </c>
      <c r="L247" t="n">
        <v>0</v>
      </c>
      <c r="M247" t="n">
        <v>0</v>
      </c>
      <c r="N247">
        <f>SUM(J247:M247)</f>
        <v/>
      </c>
      <c r="O247" s="4">
        <f>SUM(J247:L247)/SUM(J247:M247)</f>
        <v/>
      </c>
      <c r="P247" s="5">
        <f>MAX(J247:L247)/SUM(J247:L247)</f>
        <v/>
      </c>
    </row>
    <row r="248">
      <c r="A248" t="inlineStr">
        <is>
          <t>Primer año</t>
        </is>
      </c>
      <c r="B248" t="inlineStr">
        <is>
          <t>Tercer periodo</t>
        </is>
      </c>
      <c r="C248" t="n">
        <v>75</v>
      </c>
      <c r="D248" t="n">
        <v>246</v>
      </c>
      <c r="E248" s="3" t="n">
        <v>45841</v>
      </c>
      <c r="F248" t="inlineStr">
        <is>
          <t>Punto de Acuerdo</t>
        </is>
      </c>
      <c r="G248" t="inlineStr">
        <is>
          <t>Acuerdo por el que se exhorta a la Secretaría de Educación Pública</t>
        </is>
      </c>
      <c r="H248" t="n">
        <v>8</v>
      </c>
      <c r="I248" t="inlineStr">
        <is>
          <t>Educación y Cultura</t>
        </is>
      </c>
      <c r="J248" t="n">
        <v>41</v>
      </c>
      <c r="K248" t="n">
        <v>0</v>
      </c>
      <c r="L248" t="n">
        <v>0</v>
      </c>
      <c r="M248" t="n">
        <v>0</v>
      </c>
      <c r="N248">
        <f>SUM(J248:M248)</f>
        <v/>
      </c>
      <c r="O248" s="4">
        <f>SUM(J248:L248)/SUM(J248:M248)</f>
        <v/>
      </c>
      <c r="P248" s="5">
        <f>MAX(J248:L248)/SUM(J248:L248)</f>
        <v/>
      </c>
    </row>
    <row r="249">
      <c r="A249" t="inlineStr">
        <is>
          <t>Primer año</t>
        </is>
      </c>
      <c r="B249" t="inlineStr">
        <is>
          <t>Tercer periodo</t>
        </is>
      </c>
      <c r="C249" t="n">
        <v>76</v>
      </c>
      <c r="D249" t="n">
        <v>247</v>
      </c>
      <c r="E249" s="3" t="n">
        <v>45841</v>
      </c>
      <c r="F249" t="inlineStr">
        <is>
          <t>Punto de Acuerdo</t>
        </is>
      </c>
      <c r="G249" t="inlineStr">
        <is>
          <t>Acuerdo por el que se exhorta al Congreso de la Unión</t>
        </is>
      </c>
      <c r="H249" t="n">
        <v>8</v>
      </c>
      <c r="I249" t="inlineStr">
        <is>
          <t>Educación y Cultura</t>
        </is>
      </c>
      <c r="J249" t="n">
        <v>41</v>
      </c>
      <c r="K249" t="n">
        <v>0</v>
      </c>
      <c r="L249" t="n">
        <v>0</v>
      </c>
      <c r="M249" t="n">
        <v>0</v>
      </c>
      <c r="N249">
        <f>SUM(J249:M249)</f>
        <v/>
      </c>
      <c r="O249" s="4">
        <f>SUM(J249:L249)/SUM(J249:M249)</f>
        <v/>
      </c>
      <c r="P249" s="5">
        <f>MAX(J249:L249)/SUM(J249:L249)</f>
        <v/>
      </c>
    </row>
    <row r="250">
      <c r="A250" t="inlineStr">
        <is>
          <t>Primer año</t>
        </is>
      </c>
      <c r="B250" t="inlineStr">
        <is>
          <t>Tercer periodo</t>
        </is>
      </c>
      <c r="C250" t="n">
        <v>77</v>
      </c>
      <c r="D250" t="n">
        <v>248</v>
      </c>
      <c r="E250" s="3" t="n">
        <v>45841</v>
      </c>
      <c r="F250" t="inlineStr">
        <is>
          <t>Punto de Acuerdo</t>
        </is>
      </c>
      <c r="G250" t="inlineStr">
        <is>
          <t>Acuerdo por el cual la solicitud para retirar la iniciativa de decreto</t>
        </is>
      </c>
      <c r="H250" t="n">
        <v>19</v>
      </c>
      <c r="I250" t="inlineStr">
        <is>
          <t>Internos del Congreso</t>
        </is>
      </c>
      <c r="J250" t="n">
        <v>41</v>
      </c>
      <c r="K250" t="n">
        <v>0</v>
      </c>
      <c r="L250" t="n">
        <v>0</v>
      </c>
      <c r="M250" t="n">
        <v>0</v>
      </c>
      <c r="N250">
        <f>SUM(J250:M250)</f>
        <v/>
      </c>
      <c r="O250" s="4">
        <f>SUM(J250:L250)/SUM(J250:M250)</f>
        <v/>
      </c>
      <c r="P250" s="5">
        <f>MAX(J250:L250)/SUM(J250:L250)</f>
        <v/>
      </c>
    </row>
    <row r="251">
      <c r="A251" t="inlineStr">
        <is>
          <t>Primer año</t>
        </is>
      </c>
      <c r="B251" t="inlineStr">
        <is>
          <t>Tercer periodo</t>
        </is>
      </c>
      <c r="C251" t="n">
        <v>78</v>
      </c>
      <c r="D251" t="n">
        <v>249</v>
      </c>
      <c r="E251" s="3" t="n">
        <v>45848</v>
      </c>
      <c r="F251" t="inlineStr">
        <is>
          <t>Iniciativa</t>
        </is>
      </c>
      <c r="G251" t="inlineStr">
        <is>
          <t>Dictamen con minuta de decreto por el cual se expide la Ley de transparencia y acceso a la información pública del estado de ; la ley de protección de datos personales en posesión de sujetos obligados del estado de ; y se reforman las fracciones xliv y xlv y se adiciona la fracción xlvi, todas del artículo 34 de la ley orgánica de la administración pública del estado de</t>
        </is>
      </c>
      <c r="H251" t="n">
        <v>10</v>
      </c>
      <c r="I251" t="inlineStr">
        <is>
          <t>Transparencia y Rendición de Cuentas</t>
        </is>
      </c>
      <c r="J251" t="n">
        <v>35</v>
      </c>
      <c r="K251" t="n">
        <v>6</v>
      </c>
      <c r="L251" t="n">
        <v>0</v>
      </c>
      <c r="M251" t="n">
        <v>0</v>
      </c>
      <c r="N251">
        <f>SUM(J251:M251)</f>
        <v/>
      </c>
      <c r="O251" s="4">
        <f>SUM(J251:L251)/SUM(J251:M251)</f>
        <v/>
      </c>
      <c r="P251" s="5">
        <f>MAX(J251:L251)/SUM(J251:L251)</f>
        <v/>
      </c>
    </row>
    <row r="252">
      <c r="A252" t="inlineStr">
        <is>
          <t>Primer año</t>
        </is>
      </c>
      <c r="B252" t="inlineStr">
        <is>
          <t>Tercer periodo</t>
        </is>
      </c>
      <c r="C252" t="n">
        <v>79</v>
      </c>
      <c r="D252" t="n">
        <v>250</v>
      </c>
      <c r="E252" s="3" t="n">
        <v>45848</v>
      </c>
      <c r="F252" t="inlineStr">
        <is>
          <t>Punto de Acuerdo</t>
        </is>
      </c>
      <c r="G252" t="inlineStr">
        <is>
          <t>Acuerdo por el cual se aprueba la inclusión de los dictámenes con minuta de decreto en el orden del día</t>
        </is>
      </c>
      <c r="H252" t="n">
        <v>19</v>
      </c>
      <c r="I252" t="inlineStr">
        <is>
          <t>Internos del Congreso</t>
        </is>
      </c>
      <c r="J252" t="n">
        <v>41</v>
      </c>
      <c r="K252" t="n">
        <v>0</v>
      </c>
      <c r="L252" t="n">
        <v>0</v>
      </c>
      <c r="M252" t="n">
        <v>0</v>
      </c>
      <c r="N252">
        <f>SUM(J252:M252)</f>
        <v/>
      </c>
      <c r="O252" s="4">
        <f>SUM(J252:L252)/SUM(J252:M252)</f>
        <v/>
      </c>
      <c r="P252" s="5">
        <f>MAX(J252:L252)/SUM(J252:L252)</f>
        <v/>
      </c>
    </row>
    <row r="253">
      <c r="A253" t="inlineStr">
        <is>
          <t>Primer año</t>
        </is>
      </c>
      <c r="B253" t="inlineStr">
        <is>
          <t>Tercer periodo</t>
        </is>
      </c>
      <c r="C253" t="n">
        <v>80</v>
      </c>
      <c r="D253" t="n">
        <v>251</v>
      </c>
      <c r="E253" s="3" t="n">
        <v>45848</v>
      </c>
      <c r="F253" t="inlineStr">
        <is>
          <t>Iniciativa</t>
        </is>
      </c>
      <c r="G253" t="inlineStr">
        <is>
          <t>Dictamen con minuta de decreto por el cual se reforman el artículo 12 y la fracción iii del artículo 13 de la ley orgánica del poder judicial del estado de</t>
        </is>
      </c>
      <c r="H253" t="n">
        <v>14</v>
      </c>
      <c r="I253" t="inlineStr">
        <is>
          <t>Justicia y Estado de Derecho</t>
        </is>
      </c>
      <c r="J253" t="n">
        <v>36</v>
      </c>
      <c r="K253" t="n">
        <v>0</v>
      </c>
      <c r="L253" t="n">
        <v>5</v>
      </c>
      <c r="M253" t="n">
        <v>0</v>
      </c>
      <c r="N253">
        <f>SUM(J253:M253)</f>
        <v/>
      </c>
      <c r="O253" s="4">
        <f>SUM(J253:L253)/SUM(J253:M253)</f>
        <v/>
      </c>
      <c r="P253" s="5">
        <f>MAX(J253:L253)/SUM(J253:L253)</f>
        <v/>
      </c>
    </row>
    <row r="254">
      <c r="A254" t="inlineStr">
        <is>
          <t>Primer año</t>
        </is>
      </c>
      <c r="B254" t="inlineStr">
        <is>
          <t>Tercer periodo</t>
        </is>
      </c>
      <c r="C254" t="n">
        <v>81</v>
      </c>
      <c r="D254" t="n">
        <v>252</v>
      </c>
      <c r="E254" s="3" t="n">
        <v>45848</v>
      </c>
      <c r="F254" t="inlineStr">
        <is>
          <t>Iniciativa</t>
        </is>
      </c>
      <c r="G254" t="inlineStr">
        <is>
          <t>Dictamen con minuta de decreto por el cual se reforma el artículo 480 del código penal del estado libre y soberano de</t>
        </is>
      </c>
      <c r="H254" t="n">
        <v>14</v>
      </c>
      <c r="I254" t="inlineStr">
        <is>
          <t>Justicia y Estado de Derecho</t>
        </is>
      </c>
      <c r="J254" t="n">
        <v>34</v>
      </c>
      <c r="K254" t="n">
        <v>6</v>
      </c>
      <c r="L254" t="n">
        <v>1</v>
      </c>
      <c r="M254" t="n">
        <v>0</v>
      </c>
      <c r="N254">
        <f>SUM(J254:M254)</f>
        <v/>
      </c>
      <c r="O254" s="4">
        <f>SUM(J254:L254)/SUM(J254:M254)</f>
        <v/>
      </c>
      <c r="P254" s="5">
        <f>MAX(J254:L254)/SUM(J254:L254)</f>
        <v/>
      </c>
    </row>
    <row r="255">
      <c r="A255" t="inlineStr">
        <is>
          <t>Primer año</t>
        </is>
      </c>
      <c r="B255" t="inlineStr">
        <is>
          <t>Tercer periodo</t>
        </is>
      </c>
      <c r="C255" t="n">
        <v>82</v>
      </c>
      <c r="D255" t="n">
        <v>253</v>
      </c>
      <c r="E255" s="3" t="n">
        <v>45853</v>
      </c>
      <c r="F255" t="inlineStr">
        <is>
          <t>Punto de Acuerdo</t>
        </is>
      </c>
      <c r="G255" t="inlineStr">
        <is>
          <t>Acuerdo para la elección e integración de la comisión permanente que actuará del dieciséis de julio al catorce de septiembre del dos mil veinticinco</t>
        </is>
      </c>
      <c r="H255" t="n">
        <v>19</v>
      </c>
      <c r="I255" t="inlineStr">
        <is>
          <t>Internos del Congreso</t>
        </is>
      </c>
      <c r="J255" t="n">
        <v>36</v>
      </c>
      <c r="K255" t="n">
        <v>0</v>
      </c>
      <c r="L255" t="n">
        <v>0</v>
      </c>
      <c r="M255" t="n">
        <v>5</v>
      </c>
      <c r="N255">
        <f>SUM(J255:M255)</f>
        <v/>
      </c>
      <c r="O255" s="4">
        <f>SUM(J255:L255)/SUM(J255:M255)</f>
        <v/>
      </c>
      <c r="P255" s="5">
        <f>MAX(J255:L255)/SUM(J255:L255)</f>
        <v/>
      </c>
    </row>
    <row r="256">
      <c r="A256" t="inlineStr">
        <is>
          <t>Primer año</t>
        </is>
      </c>
      <c r="B256" t="inlineStr">
        <is>
          <t>Tercer periodo</t>
        </is>
      </c>
      <c r="C256" t="n">
        <v>83</v>
      </c>
      <c r="D256" t="n">
        <v>254</v>
      </c>
      <c r="E256" s="3" t="n">
        <v>45853</v>
      </c>
      <c r="F256" t="inlineStr">
        <is>
          <t>Iniciativa</t>
        </is>
      </c>
      <c r="G256" t="inlineStr">
        <is>
          <t>Dictamen con minuta de decreto por el cual se reforman y adicionan diversas disposiciones de la Ley de los Derechos de las Niñas, Niños y Adolescentes del Estado</t>
        </is>
      </c>
      <c r="H256" t="n">
        <v>2</v>
      </c>
      <c r="I256" t="inlineStr">
        <is>
          <t>Pobreza y Política Social</t>
        </is>
      </c>
      <c r="J256" t="n">
        <v>38</v>
      </c>
      <c r="K256" t="n">
        <v>0</v>
      </c>
      <c r="L256" t="n">
        <v>0</v>
      </c>
      <c r="M256" t="n">
        <v>3</v>
      </c>
      <c r="N256">
        <f>SUM(J256:M256)</f>
        <v/>
      </c>
      <c r="O256" s="4">
        <f>SUM(J256:L256)/SUM(J256:M256)</f>
        <v/>
      </c>
      <c r="P256" s="5">
        <f>MAX(J256:L256)/SUM(J256:L256)</f>
        <v/>
      </c>
    </row>
    <row r="257">
      <c r="A257" t="inlineStr">
        <is>
          <t>Primer año</t>
        </is>
      </c>
      <c r="B257" t="inlineStr">
        <is>
          <t>Tercer periodo</t>
        </is>
      </c>
      <c r="C257" t="n">
        <v>84</v>
      </c>
      <c r="D257" t="n">
        <v>255</v>
      </c>
      <c r="E257" s="3" t="n">
        <v>45853</v>
      </c>
      <c r="F257" t="inlineStr">
        <is>
          <t>Iniciativa</t>
        </is>
      </c>
      <c r="G257" t="inlineStr">
        <is>
          <t>Dictamen con minuta de decreto por el cual se reforman y adicionan diversas disposiciones del Código Fiscal del Estado</t>
        </is>
      </c>
      <c r="H257" t="n">
        <v>7</v>
      </c>
      <c r="I257" t="inlineStr">
        <is>
          <t>Impuestos, Finanzas Públicas, Patrimonio estatal y municipal</t>
        </is>
      </c>
      <c r="J257" t="n">
        <v>38</v>
      </c>
      <c r="K257" t="n">
        <v>0</v>
      </c>
      <c r="L257" t="n">
        <v>0</v>
      </c>
      <c r="M257" t="n">
        <v>3</v>
      </c>
      <c r="N257">
        <f>SUM(J257:M257)</f>
        <v/>
      </c>
      <c r="O257" s="4">
        <f>SUM(J257:L257)/SUM(J257:M257)</f>
        <v/>
      </c>
      <c r="P257" s="5">
        <f>MAX(J257:L257)/SUM(J257:L257)</f>
        <v/>
      </c>
    </row>
    <row r="258">
      <c r="A258" t="inlineStr">
        <is>
          <t>Primer año</t>
        </is>
      </c>
      <c r="B258" t="inlineStr">
        <is>
          <t>Tercer periodo</t>
        </is>
      </c>
      <c r="C258" t="n">
        <v>85</v>
      </c>
      <c r="D258" t="n">
        <v>256</v>
      </c>
      <c r="E258" s="3" t="n">
        <v>45853</v>
      </c>
      <c r="F258" t="inlineStr">
        <is>
          <t>Iniciativa</t>
        </is>
      </c>
      <c r="G258" t="inlineStr">
        <is>
          <t>Dictamen con minuta de decreto por el cual se reforma el artículo 1 de la Ley de Ingresos del Municipio de Santa Catarina Tlaltempan para el ejercicio fiscal 2025</t>
        </is>
      </c>
      <c r="H258" t="n">
        <v>7</v>
      </c>
      <c r="I258" t="inlineStr">
        <is>
          <t>Impuestos, Finanzas Públicas, Patrimonio estatal y municipal</t>
        </is>
      </c>
      <c r="J258" t="n">
        <v>38</v>
      </c>
      <c r="K258" t="n">
        <v>0</v>
      </c>
      <c r="L258" t="n">
        <v>0</v>
      </c>
      <c r="M258" t="n">
        <v>3</v>
      </c>
      <c r="N258">
        <f>SUM(J258:M258)</f>
        <v/>
      </c>
      <c r="O258" s="4">
        <f>SUM(J258:L258)/SUM(J258:M258)</f>
        <v/>
      </c>
      <c r="P258" s="5">
        <f>MAX(J258:L258)/SUM(J258:L258)</f>
        <v/>
      </c>
    </row>
    <row r="259">
      <c r="A259" t="inlineStr">
        <is>
          <t>Primer año</t>
        </is>
      </c>
      <c r="B259" t="inlineStr">
        <is>
          <t>Tercer periodo</t>
        </is>
      </c>
      <c r="C259" t="n">
        <v>86</v>
      </c>
      <c r="D259" t="n">
        <v>257</v>
      </c>
      <c r="E259" s="3" t="n">
        <v>45853</v>
      </c>
      <c r="F259" t="inlineStr">
        <is>
          <t>Iniciativa</t>
        </is>
      </c>
      <c r="G259" t="inlineStr">
        <is>
          <t>Dictamen con minuta de decreto por el cual se autoriza al ayuntamiento del municipio de Puebla la enajenación bajo la figura de donación a título gratuito de una superficie de terreno para la construcción de un centro de gerontología</t>
        </is>
      </c>
      <c r="H259" t="n">
        <v>7</v>
      </c>
      <c r="I259" t="inlineStr">
        <is>
          <t>Impuestos, Finanzas Públicas, Patrimonio estatal y municipal</t>
        </is>
      </c>
      <c r="J259" t="n">
        <v>38</v>
      </c>
      <c r="K259" t="n">
        <v>0</v>
      </c>
      <c r="L259" t="n">
        <v>0</v>
      </c>
      <c r="M259" t="n">
        <v>3</v>
      </c>
      <c r="N259">
        <f>SUM(J259:M259)</f>
        <v/>
      </c>
      <c r="O259" s="4">
        <f>SUM(J259:L259)/SUM(J259:M259)</f>
        <v/>
      </c>
      <c r="P259" s="5">
        <f>MAX(J259:L259)/SUM(J259:L259)</f>
        <v/>
      </c>
    </row>
    <row r="260">
      <c r="A260" t="inlineStr">
        <is>
          <t>Primer año</t>
        </is>
      </c>
      <c r="B260" t="inlineStr">
        <is>
          <t>Tercer periodo</t>
        </is>
      </c>
      <c r="C260" t="n">
        <v>87</v>
      </c>
      <c r="D260" t="n">
        <v>258</v>
      </c>
      <c r="E260" s="3" t="n">
        <v>45853</v>
      </c>
      <c r="F260" t="inlineStr">
        <is>
          <t>Iniciativa</t>
        </is>
      </c>
      <c r="G260" t="inlineStr">
        <is>
          <t>Dictamen con minuta de decreto por el cual se autoriza al ayuntamiento del municipio de Puebla la enajenación bajo la figura de donación a título gratuito de una superficie de terreno para oficinas de gobierno</t>
        </is>
      </c>
      <c r="H260" t="n">
        <v>7</v>
      </c>
      <c r="I260" t="inlineStr">
        <is>
          <t>Impuestos, Finanzas Públicas, Patrimonio estatal y municipal</t>
        </is>
      </c>
      <c r="J260" t="n">
        <v>38</v>
      </c>
      <c r="K260" t="n">
        <v>0</v>
      </c>
      <c r="L260" t="n">
        <v>0</v>
      </c>
      <c r="M260" t="n">
        <v>3</v>
      </c>
      <c r="N260">
        <f>SUM(J260:M260)</f>
        <v/>
      </c>
      <c r="O260" s="4">
        <f>SUM(J260:L260)/SUM(J260:M260)</f>
        <v/>
      </c>
      <c r="P260" s="5">
        <f>MAX(J260:L260)/SUM(J260:L260)</f>
        <v/>
      </c>
    </row>
    <row r="261">
      <c r="A261" t="inlineStr">
        <is>
          <t>Primer año</t>
        </is>
      </c>
      <c r="B261" t="inlineStr">
        <is>
          <t>Tercer periodo</t>
        </is>
      </c>
      <c r="C261" t="n">
        <v>88</v>
      </c>
      <c r="D261" t="n">
        <v>259</v>
      </c>
      <c r="E261" s="3" t="n">
        <v>45853</v>
      </c>
      <c r="F261" t="inlineStr">
        <is>
          <t>Iniciativa</t>
        </is>
      </c>
      <c r="G261" t="inlineStr">
        <is>
          <t>Dictamen con minuta de decreto por el cual se autoriza al gobierno del estado la enajenación bajo la figura de donación a título gratuito de inmuebles a favor del sistema municipal DIF de Puebla</t>
        </is>
      </c>
      <c r="H261" t="n">
        <v>7</v>
      </c>
      <c r="I261" t="inlineStr">
        <is>
          <t>Impuestos, Finanzas Públicas, Patrimonio estatal y municipal</t>
        </is>
      </c>
      <c r="J261" t="n">
        <v>38</v>
      </c>
      <c r="K261" t="n">
        <v>0</v>
      </c>
      <c r="L261" t="n">
        <v>0</v>
      </c>
      <c r="M261" t="n">
        <v>3</v>
      </c>
      <c r="N261">
        <f>SUM(J261:M261)</f>
        <v/>
      </c>
      <c r="O261" s="4">
        <f>SUM(J261:L261)/SUM(J261:M261)</f>
        <v/>
      </c>
      <c r="P261" s="5">
        <f>MAX(J261:L261)/SUM(J261:L261)</f>
        <v/>
      </c>
    </row>
    <row r="262">
      <c r="A262" t="inlineStr">
        <is>
          <t>Primer año</t>
        </is>
      </c>
      <c r="B262" t="inlineStr">
        <is>
          <t>Tercer periodo</t>
        </is>
      </c>
      <c r="C262" t="n">
        <v>89</v>
      </c>
      <c r="D262" t="n">
        <v>260</v>
      </c>
      <c r="E262" s="3" t="n">
        <v>45853</v>
      </c>
      <c r="F262" t="inlineStr">
        <is>
          <t>Iniciativa</t>
        </is>
      </c>
      <c r="G262" t="inlineStr">
        <is>
          <t>Dictamen con minuta de decreto por el cual se reforman y adicionan diversas disposiciones de la Ley de Desarrollo Forestal Sustentable del Estado</t>
        </is>
      </c>
      <c r="H262" t="n">
        <v>5</v>
      </c>
      <c r="I262" t="inlineStr">
        <is>
          <t>Medio Ambiente</t>
        </is>
      </c>
      <c r="J262" t="n">
        <v>39</v>
      </c>
      <c r="K262" t="n">
        <v>0</v>
      </c>
      <c r="L262" t="n">
        <v>0</v>
      </c>
      <c r="M262" t="n">
        <v>2</v>
      </c>
      <c r="N262">
        <f>SUM(J262:M262)</f>
        <v/>
      </c>
      <c r="O262" s="4">
        <f>SUM(J262:L262)/SUM(J262:M262)</f>
        <v/>
      </c>
      <c r="P262" s="5">
        <f>MAX(J262:L262)/SUM(J262:L262)</f>
        <v/>
      </c>
    </row>
    <row r="263">
      <c r="A263" t="inlineStr">
        <is>
          <t>Primer año</t>
        </is>
      </c>
      <c r="B263" t="inlineStr">
        <is>
          <t>Tercer periodo</t>
        </is>
      </c>
      <c r="C263" t="n">
        <v>90</v>
      </c>
      <c r="D263" t="n">
        <v>261</v>
      </c>
      <c r="E263" s="3" t="n">
        <v>45853</v>
      </c>
      <c r="F263" t="inlineStr">
        <is>
          <t>Punto de Acuerdo</t>
        </is>
      </c>
      <c r="G263" t="inlineStr">
        <is>
          <t>Acuerdo por el que se exhorta a la Secretaría de Movilidad y Transporte del estado para que implemente acciones para verificar y garantizar que los prestadores del servicio público de transporte cumplan con el destino e identificación de los asientos reservados</t>
        </is>
      </c>
      <c r="H263" t="n">
        <v>11</v>
      </c>
      <c r="I263" t="inlineStr">
        <is>
          <t>Infraestructura, Movilidad y Transporte</t>
        </is>
      </c>
      <c r="J263" t="n">
        <v>39</v>
      </c>
      <c r="K263" t="n">
        <v>0</v>
      </c>
      <c r="L263" t="n">
        <v>0</v>
      </c>
      <c r="M263" t="n">
        <v>2</v>
      </c>
      <c r="N263">
        <f>SUM(J263:M263)</f>
        <v/>
      </c>
      <c r="O263" s="4">
        <f>SUM(J263:L263)/SUM(J263:M263)</f>
        <v/>
      </c>
      <c r="P263" s="5">
        <f>MAX(J263:L263)/SUM(J263:L263)</f>
        <v/>
      </c>
    </row>
    <row r="264">
      <c r="A264" t="inlineStr">
        <is>
          <t>Primer año</t>
        </is>
      </c>
      <c r="B264" t="inlineStr">
        <is>
          <t>Tercer periodo</t>
        </is>
      </c>
      <c r="C264" t="n">
        <v>91</v>
      </c>
      <c r="D264" t="n">
        <v>262</v>
      </c>
      <c r="E264" s="3" t="n">
        <v>45853</v>
      </c>
      <c r="F264" t="inlineStr">
        <is>
          <t>Punto de Acuerdo</t>
        </is>
      </c>
      <c r="G264" t="inlineStr">
        <is>
          <t>Acuerdo por el que se exhorta a los doscientos doce ayuntamientos y cinco concejos municipales del estado para que instalen una comisión interinstitucional e implementen estrategias permanentes para la prevención y erradicación del trabajo infantil</t>
        </is>
      </c>
      <c r="H264" t="n">
        <v>16</v>
      </c>
      <c r="I264" t="inlineStr">
        <is>
          <t>Trabajo y Previsión Social</t>
        </is>
      </c>
      <c r="J264" t="n">
        <v>39</v>
      </c>
      <c r="K264" t="n">
        <v>0</v>
      </c>
      <c r="L264" t="n">
        <v>0</v>
      </c>
      <c r="M264" t="n">
        <v>2</v>
      </c>
      <c r="N264">
        <f>SUM(J264:M264)</f>
        <v/>
      </c>
      <c r="O264" s="4">
        <f>SUM(J264:L264)/SUM(J264:M264)</f>
        <v/>
      </c>
      <c r="P264" s="5">
        <f>MAX(J264:L264)/SUM(J264:L264)</f>
        <v/>
      </c>
    </row>
    <row r="265">
      <c r="A265" t="inlineStr">
        <is>
          <t>Primer año</t>
        </is>
      </c>
      <c r="B265" t="inlineStr">
        <is>
          <t>Tercer periodo</t>
        </is>
      </c>
      <c r="C265" t="n">
        <v>92</v>
      </c>
      <c r="D265" t="n">
        <v>263</v>
      </c>
      <c r="E265" s="3" t="n">
        <v>45853</v>
      </c>
      <c r="F265" t="inlineStr">
        <is>
          <t>Punto de Acuerdo</t>
        </is>
      </c>
      <c r="G265" t="inlineStr">
        <is>
          <t>Acuerdo por el que se exhorta a los diecinueve ayuntamientos de los municipios que integran la zona metropolitana del estado para que impulsen acciones, estrategias, políticas públicas y servicios para promover y garantizar el derecho a los cuidados</t>
        </is>
      </c>
      <c r="H265" t="n">
        <v>18</v>
      </c>
      <c r="I265" t="inlineStr">
        <is>
          <t>Administración Pública</t>
        </is>
      </c>
      <c r="J265" t="n">
        <v>39</v>
      </c>
      <c r="K265" t="n">
        <v>0</v>
      </c>
      <c r="L265" t="n">
        <v>0</v>
      </c>
      <c r="M265" t="n">
        <v>2</v>
      </c>
      <c r="N265">
        <f>SUM(J265:M265)</f>
        <v/>
      </c>
      <c r="O265" s="4">
        <f>SUM(J265:L265)/SUM(J265:M265)</f>
        <v/>
      </c>
      <c r="P265" s="5">
        <f>MAX(J265:L265)/SUM(J265:L265)</f>
        <v/>
      </c>
    </row>
    <row r="266">
      <c r="A266" t="inlineStr">
        <is>
          <t>Primer año</t>
        </is>
      </c>
      <c r="B266" t="inlineStr">
        <is>
          <t>Tercer periodo</t>
        </is>
      </c>
      <c r="C266" t="n">
        <v>93</v>
      </c>
      <c r="D266" t="n">
        <v>264</v>
      </c>
      <c r="E266" s="3" t="n">
        <v>45854</v>
      </c>
      <c r="F266" t="inlineStr">
        <is>
          <t>Punto de Acuerdo</t>
        </is>
      </c>
      <c r="G266" t="inlineStr">
        <is>
          <t>Acuerdo por el cual llevar a cabo las sesiones en el salón de plenos de este recinto legislativo</t>
        </is>
      </c>
      <c r="H266" t="n">
        <v>19</v>
      </c>
      <c r="I266" t="inlineStr">
        <is>
          <t>Internos del Congreso</t>
        </is>
      </c>
      <c r="J266" t="n">
        <v>9</v>
      </c>
      <c r="K266" t="n">
        <v>0</v>
      </c>
      <c r="L266" t="n">
        <v>0</v>
      </c>
      <c r="M266" t="n">
        <v>0</v>
      </c>
      <c r="N266">
        <f>SUM(J266:M266)</f>
        <v/>
      </c>
      <c r="O266" s="4">
        <f>SUM(J266:L266)/SUM(J266:M266)</f>
        <v/>
      </c>
      <c r="P266" s="5">
        <f>MAX(J266:L266)/SUM(J266:L266)</f>
        <v/>
      </c>
    </row>
    <row r="267">
      <c r="A267" t="inlineStr">
        <is>
          <t>Primer año</t>
        </is>
      </c>
      <c r="B267" t="inlineStr">
        <is>
          <t>Tercer periodo</t>
        </is>
      </c>
      <c r="C267" t="n">
        <v>94</v>
      </c>
      <c r="D267" t="n">
        <v>265</v>
      </c>
      <c r="E267" s="3" t="n">
        <v>45863</v>
      </c>
      <c r="F267" t="inlineStr">
        <is>
          <t>Punto de Acuerdo</t>
        </is>
      </c>
      <c r="G267" t="inlineStr">
        <is>
          <t>Acuerdo por el cual exhorta a la secretaría de arte y cultura, así como a los doscientos doce ayuntamientos y cinco concejos municipales del estado, para que implementen programas y actividades artísticas y culturales que fomenten la participación de la comunidad LGTBIQ+</t>
        </is>
      </c>
      <c r="H267" t="n">
        <v>8</v>
      </c>
      <c r="I267" t="inlineStr">
        <is>
          <t>Educación y Cultura</t>
        </is>
      </c>
      <c r="J267" t="n">
        <v>7</v>
      </c>
      <c r="K267" t="n">
        <v>0</v>
      </c>
      <c r="L267" t="n">
        <v>0</v>
      </c>
      <c r="M267" t="n">
        <v>34</v>
      </c>
      <c r="N267">
        <f>SUM(J267:M267)</f>
        <v/>
      </c>
      <c r="O267" s="4">
        <f>SUM(J267:L267)/SUM(J267:M267)</f>
        <v/>
      </c>
      <c r="P267" s="5">
        <f>MAX(J267:L267)/SUM(J267:L267)</f>
        <v/>
      </c>
    </row>
    <row r="268">
      <c r="A268" t="inlineStr">
        <is>
          <t>Primer año</t>
        </is>
      </c>
      <c r="B268" t="inlineStr">
        <is>
          <t>Tercer periodo</t>
        </is>
      </c>
      <c r="C268" t="n">
        <v>95</v>
      </c>
      <c r="D268" t="n">
        <v>266</v>
      </c>
      <c r="E268" s="3" t="n">
        <v>45863</v>
      </c>
      <c r="F268" t="inlineStr">
        <is>
          <t>Punto de Acuerdo</t>
        </is>
      </c>
      <c r="G268" t="inlineStr">
        <is>
          <t>Acuerdo por el cual exhorta a la secretaría de educación pública del estado para que, en coordinación con la policía estatal cibernética, implemente capacitaciones a las y los docentes, y diseñe protocolos de prevención, atención, y denuncia en materia de sexting y violencia digital</t>
        </is>
      </c>
      <c r="H268" t="n">
        <v>8</v>
      </c>
      <c r="I268" t="inlineStr">
        <is>
          <t>Educación y Cultura</t>
        </is>
      </c>
      <c r="J268" t="n">
        <v>8</v>
      </c>
      <c r="K268" t="n">
        <v>0</v>
      </c>
      <c r="L268" t="n">
        <v>0</v>
      </c>
      <c r="M268" t="n">
        <v>33</v>
      </c>
      <c r="N268">
        <f>SUM(J268:M268)</f>
        <v/>
      </c>
      <c r="O268" s="4">
        <f>SUM(J268:L268)/SUM(J268:M268)</f>
        <v/>
      </c>
      <c r="P268" s="5">
        <f>MAX(J268:L268)/SUM(J268:L268)</f>
        <v/>
      </c>
    </row>
    <row r="269">
      <c r="A269" t="inlineStr">
        <is>
          <t>Primer año</t>
        </is>
      </c>
      <c r="B269" t="inlineStr">
        <is>
          <t>Tercer periodo</t>
        </is>
      </c>
      <c r="C269" t="n">
        <v>96</v>
      </c>
      <c r="D269" t="n">
        <v>267</v>
      </c>
      <c r="E269" s="3" t="n">
        <v>45863</v>
      </c>
      <c r="F269" t="inlineStr">
        <is>
          <t>Punto de Acuerdo</t>
        </is>
      </c>
      <c r="G269" t="inlineStr">
        <is>
          <t>Acuerdo por el cual exhorta a la secretaría de educación pública y a la secretaría de salud, para que en coordinación con los doscientos doce ayuntamientos y los cinco concejos municipales del estado, implementen campañas de concientización y prevención de las autolesiones</t>
        </is>
      </c>
      <c r="H269" t="n">
        <v>6</v>
      </c>
      <c r="I269" t="inlineStr">
        <is>
          <t>Salud</t>
        </is>
      </c>
      <c r="J269" t="n">
        <v>8</v>
      </c>
      <c r="K269" t="n">
        <v>0</v>
      </c>
      <c r="L269" t="n">
        <v>0</v>
      </c>
      <c r="M269" t="n">
        <v>33</v>
      </c>
      <c r="N269">
        <f>SUM(J269:M269)</f>
        <v/>
      </c>
      <c r="O269" s="4">
        <f>SUM(J269:L269)/SUM(J269:M269)</f>
        <v/>
      </c>
      <c r="P269" s="5">
        <f>MAX(J269:L269)/SUM(J269:L269)</f>
        <v/>
      </c>
    </row>
    <row r="270">
      <c r="A270" t="inlineStr">
        <is>
          <t>Primer año</t>
        </is>
      </c>
      <c r="B270" t="inlineStr">
        <is>
          <t>Tercer periodo</t>
        </is>
      </c>
      <c r="C270" t="n">
        <v>97</v>
      </c>
      <c r="D270" t="n">
        <v>268</v>
      </c>
      <c r="E270" s="3" t="n">
        <v>45863</v>
      </c>
      <c r="F270" t="inlineStr">
        <is>
          <t>Punto de Acuerdo</t>
        </is>
      </c>
      <c r="G270" t="inlineStr">
        <is>
          <t>Acuerdo por el cual exhorta a la secretaría de educación pública para que, en coordinación con la secretaría de salud, ambas del estado, diseñe e implemente un protocolo de atención inmediata de emergencias médicas en el entorno escolar</t>
        </is>
      </c>
      <c r="H270" t="n">
        <v>6</v>
      </c>
      <c r="I270" t="inlineStr">
        <is>
          <t>Salud</t>
        </is>
      </c>
      <c r="J270" t="n">
        <v>8</v>
      </c>
      <c r="K270" t="n">
        <v>0</v>
      </c>
      <c r="L270" t="n">
        <v>0</v>
      </c>
      <c r="M270" t="n">
        <v>33</v>
      </c>
      <c r="N270">
        <f>SUM(J270:M270)</f>
        <v/>
      </c>
      <c r="O270" s="4">
        <f>SUM(J270:L270)/SUM(J270:M270)</f>
        <v/>
      </c>
      <c r="P270" s="5">
        <f>MAX(J270:L270)/SUM(J270:L270)</f>
        <v/>
      </c>
    </row>
    <row r="271">
      <c r="A271" t="inlineStr">
        <is>
          <t>Primer año</t>
        </is>
      </c>
      <c r="B271" t="inlineStr">
        <is>
          <t>Tercer periodo</t>
        </is>
      </c>
      <c r="C271" t="n">
        <v>98</v>
      </c>
      <c r="D271" t="n">
        <v>269</v>
      </c>
      <c r="E271" s="3" t="n">
        <v>45863</v>
      </c>
      <c r="F271" t="inlineStr">
        <is>
          <t>Punto de Acuerdo</t>
        </is>
      </c>
      <c r="G271" t="inlineStr">
        <is>
          <t>Acuerdo por el cual exhorta a la procuraduría federal del consumidor delegación , para que vigile que las casas de empeño en la entidad se encuentren debidamente inscritas en el registro público de casas de empeño</t>
        </is>
      </c>
      <c r="H271" t="n">
        <v>1</v>
      </c>
      <c r="I271" t="inlineStr">
        <is>
          <t>Economía, Comercio y Competitividad</t>
        </is>
      </c>
      <c r="J271" t="n">
        <v>8</v>
      </c>
      <c r="K271" t="n">
        <v>0</v>
      </c>
      <c r="L271" t="n">
        <v>0</v>
      </c>
      <c r="M271" t="n">
        <v>33</v>
      </c>
      <c r="N271">
        <f>SUM(J271:M271)</f>
        <v/>
      </c>
      <c r="O271" s="4">
        <f>SUM(J271:L271)/SUM(J271:M271)</f>
        <v/>
      </c>
      <c r="P271" s="5">
        <f>MAX(J271:L271)/SUM(J271:L271)</f>
        <v/>
      </c>
    </row>
    <row r="272">
      <c r="A272" t="inlineStr">
        <is>
          <t>Primer año</t>
        </is>
      </c>
      <c r="B272" t="inlineStr">
        <is>
          <t>Tercer periodo</t>
        </is>
      </c>
      <c r="C272" t="n">
        <v>99</v>
      </c>
      <c r="D272" t="n">
        <v>270</v>
      </c>
      <c r="E272" s="3" t="n">
        <v>45863</v>
      </c>
      <c r="F272" t="inlineStr">
        <is>
          <t>Punto de Acuerdo</t>
        </is>
      </c>
      <c r="G272" t="inlineStr">
        <is>
          <t>Acuerdo por el cual exhorta a los doscientos doce ayuntamientos y a los cinco concejos municipales de la entidad, para que realicen los trámites necesarios y destinen los recursos humanos, materiales y financieros para la operación de los servicios de ambulancias</t>
        </is>
      </c>
      <c r="H272" t="n">
        <v>6</v>
      </c>
      <c r="I272" t="inlineStr">
        <is>
          <t>Salud</t>
        </is>
      </c>
      <c r="J272" t="n">
        <v>8</v>
      </c>
      <c r="K272" t="n">
        <v>0</v>
      </c>
      <c r="L272" t="n">
        <v>0</v>
      </c>
      <c r="M272" t="n">
        <v>33</v>
      </c>
      <c r="N272">
        <f>SUM(J272:M272)</f>
        <v/>
      </c>
      <c r="O272" s="4">
        <f>SUM(J272:L272)/SUM(J272:M272)</f>
        <v/>
      </c>
      <c r="P272" s="5">
        <f>MAX(J272:L272)/SUM(J272:L272)</f>
        <v/>
      </c>
    </row>
    <row r="273">
      <c r="A273" t="inlineStr">
        <is>
          <t>Primer año</t>
        </is>
      </c>
      <c r="B273" t="inlineStr">
        <is>
          <t>Tercer periodo</t>
        </is>
      </c>
      <c r="C273" t="n">
        <v>100</v>
      </c>
      <c r="D273" t="n">
        <v>271</v>
      </c>
      <c r="E273" s="3" t="n">
        <v>45863</v>
      </c>
      <c r="F273" t="inlineStr">
        <is>
          <t>Punto de Acuerdo</t>
        </is>
      </c>
      <c r="G273" t="inlineStr">
        <is>
          <t>Acuerdo por el cual exhorta a las dependencias de la administración pública del estado y a los doscientos doce ayuntamientos y cinco concejos municipales de la entidad, para que implementen y fortalezcan acciones que garanticen el derecho a la lactancia materna</t>
        </is>
      </c>
      <c r="H273" t="n">
        <v>6</v>
      </c>
      <c r="I273" t="inlineStr">
        <is>
          <t>Salud</t>
        </is>
      </c>
      <c r="J273" t="n">
        <v>8</v>
      </c>
      <c r="K273" t="n">
        <v>0</v>
      </c>
      <c r="L273" t="n">
        <v>0</v>
      </c>
      <c r="M273" t="n">
        <v>33</v>
      </c>
      <c r="N273">
        <f>SUM(J273:M273)</f>
        <v/>
      </c>
      <c r="O273" s="4">
        <f>SUM(J273:L273)/SUM(J273:M273)</f>
        <v/>
      </c>
      <c r="P273" s="5">
        <f>MAX(J273:L273)/SUM(J273:L273)</f>
        <v/>
      </c>
    </row>
    <row r="274">
      <c r="A274" t="inlineStr">
        <is>
          <t>Primer año</t>
        </is>
      </c>
      <c r="B274" t="inlineStr">
        <is>
          <t>Tercer periodo</t>
        </is>
      </c>
      <c r="C274" t="n">
        <v>101</v>
      </c>
      <c r="D274" t="n">
        <v>272</v>
      </c>
      <c r="E274" s="3" t="n">
        <v>45863</v>
      </c>
      <c r="F274" t="inlineStr">
        <is>
          <t>Punto de Acuerdo</t>
        </is>
      </c>
      <c r="G274" t="inlineStr">
        <is>
          <t>Acuerdo por el cual exhorta a la secretaría de salud del estado para que de manera coordinada con los doscientos doce ayuntamientos y cinco concejos municipales implementen y fortalezcan las jornadas integrales de salud garantizando el bienestar de las personas adultas mayores</t>
        </is>
      </c>
      <c r="H274" t="n">
        <v>6</v>
      </c>
      <c r="I274" t="inlineStr">
        <is>
          <t>Salud</t>
        </is>
      </c>
      <c r="J274" t="n">
        <v>8</v>
      </c>
      <c r="K274" t="n">
        <v>0</v>
      </c>
      <c r="L274" t="n">
        <v>0</v>
      </c>
      <c r="M274" t="n">
        <v>33</v>
      </c>
      <c r="N274">
        <f>SUM(J274:M274)</f>
        <v/>
      </c>
      <c r="O274" s="4">
        <f>SUM(J274:L274)/SUM(J274:M274)</f>
        <v/>
      </c>
      <c r="P274" s="5">
        <f>MAX(J274:L274)/SUM(J274:L274)</f>
        <v/>
      </c>
    </row>
    <row r="275">
      <c r="A275" t="inlineStr">
        <is>
          <t>Primer año</t>
        </is>
      </c>
      <c r="B275" t="inlineStr">
        <is>
          <t>Tercer periodo</t>
        </is>
      </c>
      <c r="C275" t="n">
        <v>102</v>
      </c>
      <c r="D275" t="n">
        <v>273</v>
      </c>
      <c r="E275" s="3" t="n">
        <v>45863</v>
      </c>
      <c r="F275" t="inlineStr">
        <is>
          <t>Punto de Acuerdo</t>
        </is>
      </c>
      <c r="G275" t="inlineStr">
        <is>
          <t>Acuerdo por el cual exhorta a la secretaría de salud del estado para que amplíe la difusión del panorama epidemiológico del virus de inmunodeficiencia humana (vih) y del síndrome de inmunodeficiencia adquirida (sida)</t>
        </is>
      </c>
      <c r="H275" t="n">
        <v>6</v>
      </c>
      <c r="I275" t="inlineStr">
        <is>
          <t>Salud</t>
        </is>
      </c>
      <c r="J275" t="n">
        <v>8</v>
      </c>
      <c r="K275" t="n">
        <v>0</v>
      </c>
      <c r="L275" t="n">
        <v>0</v>
      </c>
      <c r="M275" t="n">
        <v>33</v>
      </c>
      <c r="N275">
        <f>SUM(J275:M275)</f>
        <v/>
      </c>
      <c r="O275" s="4">
        <f>SUM(J275:L275)/SUM(J275:M275)</f>
        <v/>
      </c>
      <c r="P275" s="5">
        <f>MAX(J275:L275)/SUM(J275:L275)</f>
        <v/>
      </c>
    </row>
    <row r="276">
      <c r="A276" t="inlineStr">
        <is>
          <t>Primer año</t>
        </is>
      </c>
      <c r="B276" t="inlineStr">
        <is>
          <t>Tercer periodo</t>
        </is>
      </c>
      <c r="C276" t="n">
        <v>103</v>
      </c>
      <c r="D276" t="n">
        <v>274</v>
      </c>
      <c r="E276" s="3" t="n">
        <v>45863</v>
      </c>
      <c r="F276" t="inlineStr">
        <is>
          <t>Punto de Acuerdo</t>
        </is>
      </c>
      <c r="G276" t="inlineStr">
        <is>
          <t>Acuerdo por el cual exhorta a la secretaría de salud en coordinación con la secretaría de educación pública, ambas del estado para que implementen campañas de concientización sobre la donación de órganos y tejidos</t>
        </is>
      </c>
      <c r="H276" t="n">
        <v>6</v>
      </c>
      <c r="I276" t="inlineStr">
        <is>
          <t>Salud</t>
        </is>
      </c>
      <c r="J276" t="n">
        <v>8</v>
      </c>
      <c r="K276" t="n">
        <v>0</v>
      </c>
      <c r="L276" t="n">
        <v>0</v>
      </c>
      <c r="M276" t="n">
        <v>33</v>
      </c>
      <c r="N276">
        <f>SUM(J276:M276)</f>
        <v/>
      </c>
      <c r="O276" s="4">
        <f>SUM(J276:L276)/SUM(J276:M276)</f>
        <v/>
      </c>
      <c r="P276" s="5">
        <f>MAX(J276:L276)/SUM(J276:L276)</f>
        <v/>
      </c>
    </row>
    <row r="277">
      <c r="A277" t="inlineStr">
        <is>
          <t>Primer año</t>
        </is>
      </c>
      <c r="B277" t="inlineStr">
        <is>
          <t>Tercer periodo</t>
        </is>
      </c>
      <c r="C277" t="n">
        <v>104</v>
      </c>
      <c r="D277" t="n">
        <v>275</v>
      </c>
      <c r="E277" s="3" t="n">
        <v>45884</v>
      </c>
      <c r="F277" t="inlineStr">
        <is>
          <t>Punto de Acuerdo</t>
        </is>
      </c>
      <c r="G277" t="inlineStr">
        <is>
          <t>Acuerdo por el cual se exhorta a los doscientos doce ayuntamientos y a los cinco concejos municipales del estado, para que en términos del artículo 94 de la ley orgánica municipal, autoricen la creación de la comisión de ciencia, tecnología e innovación</t>
        </is>
      </c>
      <c r="H277" t="n">
        <v>18</v>
      </c>
      <c r="I277" t="inlineStr">
        <is>
          <t>Administración Pública</t>
        </is>
      </c>
      <c r="J277" t="n">
        <v>8</v>
      </c>
      <c r="K277" t="n">
        <v>0</v>
      </c>
      <c r="L277" t="n">
        <v>0</v>
      </c>
      <c r="M277" t="n">
        <v>0</v>
      </c>
      <c r="N277">
        <f>SUM(J277:M277)</f>
        <v/>
      </c>
      <c r="O277" s="4">
        <f>SUM(J277:L277)/SUM(J277:M277)</f>
        <v/>
      </c>
      <c r="P277" s="5">
        <f>MAX(J277:L277)/SUM(J277:L277)</f>
        <v/>
      </c>
    </row>
    <row r="278">
      <c r="A278" t="inlineStr">
        <is>
          <t>Primer año</t>
        </is>
      </c>
      <c r="B278" t="inlineStr">
        <is>
          <t>Tercer periodo</t>
        </is>
      </c>
      <c r="C278" t="n">
        <v>105</v>
      </c>
      <c r="D278" t="n">
        <v>276</v>
      </c>
      <c r="E278" s="3" t="n">
        <v>45884</v>
      </c>
      <c r="F278" t="inlineStr">
        <is>
          <t>Punto de Acuerdo</t>
        </is>
      </c>
      <c r="G278" t="inlineStr">
        <is>
          <t>Acuerdo por el cual se exhorta al honorable ayuntamiento de Chiautla de Tapia, para que durante su ejercicio constitucional inserte en su papelería oficial la leyenda conmemorativa “Gilberto Bosques Saldívar: mixteco, diplomático, humanista y orgullo de Chiautla de Tapia”</t>
        </is>
      </c>
      <c r="H278" t="n">
        <v>8</v>
      </c>
      <c r="I278" t="inlineStr">
        <is>
          <t>Educación y Cultura</t>
        </is>
      </c>
      <c r="J278" t="n">
        <v>8</v>
      </c>
      <c r="K278" t="n">
        <v>0</v>
      </c>
      <c r="L278" t="n">
        <v>0</v>
      </c>
      <c r="M278" t="n">
        <v>0</v>
      </c>
      <c r="N278">
        <f>SUM(J278:M278)</f>
        <v/>
      </c>
      <c r="O278" s="4">
        <f>SUM(J278:L278)/SUM(J278:M278)</f>
        <v/>
      </c>
      <c r="P278" s="5">
        <f>MAX(J278:L278)/SUM(J278:L278)</f>
        <v/>
      </c>
    </row>
    <row r="279">
      <c r="A279" t="inlineStr">
        <is>
          <t>Primer año</t>
        </is>
      </c>
      <c r="B279" t="inlineStr">
        <is>
          <t>Tercer periodo</t>
        </is>
      </c>
      <c r="C279" t="n">
        <v>106</v>
      </c>
      <c r="D279" t="n">
        <v>277</v>
      </c>
      <c r="E279" s="3" t="n">
        <v>45884</v>
      </c>
      <c r="F279" t="inlineStr">
        <is>
          <t>Punto de Acuerdo</t>
        </is>
      </c>
      <c r="G279" t="inlineStr">
        <is>
          <t>Acuerdo por el cual se exhorta a los doscientos doce ayuntamientos y cinco concejos municipales del estado para que, en coordinación con la secretaría de seguridad pública, realicen operativos de vigilancia en las inmediaciones de los planteles escolares</t>
        </is>
      </c>
      <c r="H279" t="n">
        <v>3</v>
      </c>
      <c r="I279" t="inlineStr">
        <is>
          <t>Seguridad Pública, Protección Civil y Narcotráfico</t>
        </is>
      </c>
      <c r="J279" t="n">
        <v>8</v>
      </c>
      <c r="K279" t="n">
        <v>0</v>
      </c>
      <c r="L279" t="n">
        <v>0</v>
      </c>
      <c r="M279" t="n">
        <v>0</v>
      </c>
      <c r="N279">
        <f>SUM(J279:M279)</f>
        <v/>
      </c>
      <c r="O279" s="4">
        <f>SUM(J279:L279)/SUM(J279:M279)</f>
        <v/>
      </c>
      <c r="P279" s="5">
        <f>MAX(J279:L279)/SUM(J279:L279)</f>
        <v/>
      </c>
    </row>
    <row r="280">
      <c r="A280" t="inlineStr">
        <is>
          <t>Primer año</t>
        </is>
      </c>
      <c r="B280" t="inlineStr">
        <is>
          <t>Tercer periodo</t>
        </is>
      </c>
      <c r="C280" t="n">
        <v>107</v>
      </c>
      <c r="D280" t="n">
        <v>278</v>
      </c>
      <c r="E280" s="3" t="n">
        <v>45884</v>
      </c>
      <c r="F280" t="inlineStr">
        <is>
          <t>Punto de Acuerdo</t>
        </is>
      </c>
      <c r="G280" t="inlineStr">
        <is>
          <t>Acuerdo por el cual se exhorta a los doscientos doce ayuntamientos y a los cinco concejos municipales del estado, para que elaboren lineamientos y/o reglas de operación en materia de subsidios, apoyos o donativos</t>
        </is>
      </c>
      <c r="H280" t="n">
        <v>10</v>
      </c>
      <c r="I280" t="inlineStr">
        <is>
          <t>Transparencia y Rendición de Cuentas</t>
        </is>
      </c>
      <c r="J280" t="n">
        <v>8</v>
      </c>
      <c r="K280" t="n">
        <v>0</v>
      </c>
      <c r="L280" t="n">
        <v>0</v>
      </c>
      <c r="M280" t="n">
        <v>0</v>
      </c>
      <c r="N280">
        <f>SUM(J280:M280)</f>
        <v/>
      </c>
      <c r="O280" s="4">
        <f>SUM(J280:L280)/SUM(J280:M280)</f>
        <v/>
      </c>
      <c r="P280" s="5">
        <f>MAX(J280:L280)/SUM(J280:L280)</f>
        <v/>
      </c>
    </row>
    <row r="281">
      <c r="A281" t="inlineStr">
        <is>
          <t>Primer año</t>
        </is>
      </c>
      <c r="B281" t="inlineStr">
        <is>
          <t>Tercer periodo</t>
        </is>
      </c>
      <c r="C281" t="n">
        <v>108</v>
      </c>
      <c r="D281" t="n">
        <v>279</v>
      </c>
      <c r="E281" s="3" t="n">
        <v>45884</v>
      </c>
      <c r="F281" t="inlineStr">
        <is>
          <t>Punto de Acuerdo</t>
        </is>
      </c>
      <c r="G281" t="inlineStr">
        <is>
          <t>Acuerdo por el cual se exhorta a los doscientos doce ayuntamientos y a los cinco concejos municipales del estado para que, en el ámbito de su competencia, procedan al retiro de las casetas telefónicas instaladas en la vía pública</t>
        </is>
      </c>
      <c r="H281" t="n">
        <v>11</v>
      </c>
      <c r="I281" t="inlineStr">
        <is>
          <t>Infraestructura, Movilidad y Transporte</t>
        </is>
      </c>
      <c r="J281" t="n">
        <v>8</v>
      </c>
      <c r="K281" t="n">
        <v>0</v>
      </c>
      <c r="L281" t="n">
        <v>0</v>
      </c>
      <c r="M281" t="n">
        <v>0</v>
      </c>
      <c r="N281">
        <f>SUM(J281:M281)</f>
        <v/>
      </c>
      <c r="O281" s="4">
        <f>SUM(J281:L281)/SUM(J281:M281)</f>
        <v/>
      </c>
      <c r="P281" s="5">
        <f>MAX(J281:L281)/SUM(J281:L281)</f>
        <v/>
      </c>
    </row>
    <row r="282">
      <c r="A282" t="inlineStr">
        <is>
          <t>Primer año</t>
        </is>
      </c>
      <c r="B282" t="inlineStr">
        <is>
          <t>Tercer periodo</t>
        </is>
      </c>
      <c r="C282" t="n">
        <v>109</v>
      </c>
      <c r="D282" t="n">
        <v>280</v>
      </c>
      <c r="E282" s="3" t="n">
        <v>45884</v>
      </c>
      <c r="F282" t="inlineStr">
        <is>
          <t>Punto de Acuerdo</t>
        </is>
      </c>
      <c r="G282" t="inlineStr">
        <is>
          <t>Acuerdo por el cual se exhorta a las dependencias del gobierno del estado, así como a los doscientos doce ayuntamientos y cinco concejos municipales de la entidad, para que en la difusión de sus convocatorias, programas y acciones consideren la brecha digital</t>
        </is>
      </c>
      <c r="H282" t="n">
        <v>2</v>
      </c>
      <c r="I282" t="inlineStr">
        <is>
          <t>Pobreza y Política Social</t>
        </is>
      </c>
      <c r="J282" t="n">
        <v>8</v>
      </c>
      <c r="K282" t="n">
        <v>0</v>
      </c>
      <c r="L282" t="n">
        <v>0</v>
      </c>
      <c r="M282" t="n">
        <v>0</v>
      </c>
      <c r="N282">
        <f>SUM(J282:M282)</f>
        <v/>
      </c>
      <c r="O282" s="4">
        <f>SUM(J282:L282)/SUM(J282:M282)</f>
        <v/>
      </c>
      <c r="P282" s="5">
        <f>MAX(J282:L282)/SUM(J282:L282)</f>
        <v/>
      </c>
    </row>
    <row r="283">
      <c r="A283" t="inlineStr">
        <is>
          <t>Primer año</t>
        </is>
      </c>
      <c r="B283" t="inlineStr">
        <is>
          <t>Tercer periodo</t>
        </is>
      </c>
      <c r="C283" t="n">
        <v>110</v>
      </c>
      <c r="D283" t="n">
        <v>281</v>
      </c>
      <c r="E283" s="3" t="n">
        <v>45890</v>
      </c>
      <c r="F283" t="inlineStr">
        <is>
          <t>Punto de Acuerdo</t>
        </is>
      </c>
      <c r="G283" t="inlineStr">
        <is>
          <t>Acuerdo por el cual la dispensa de lectura del acta de la sesión anterior</t>
        </is>
      </c>
      <c r="H283" t="n">
        <v>19</v>
      </c>
      <c r="I283" t="inlineStr">
        <is>
          <t>Internos del Congreso</t>
        </is>
      </c>
      <c r="J283" t="n">
        <v>8</v>
      </c>
      <c r="K283" t="n">
        <v>0</v>
      </c>
      <c r="L283" t="n">
        <v>0</v>
      </c>
      <c r="M283" t="n">
        <v>0</v>
      </c>
      <c r="N283">
        <f>SUM(J283:M283)</f>
        <v/>
      </c>
      <c r="O283" s="4">
        <f>SUM(J283:L283)/SUM(J283:M283)</f>
        <v/>
      </c>
      <c r="P283" s="5">
        <f>MAX(J283:L283)/SUM(J283:L283)</f>
        <v/>
      </c>
    </row>
    <row r="284">
      <c r="A284" t="inlineStr">
        <is>
          <t>Primer año</t>
        </is>
      </c>
      <c r="B284" t="inlineStr">
        <is>
          <t>Tercer periodo</t>
        </is>
      </c>
      <c r="C284" t="n">
        <v>111</v>
      </c>
      <c r="D284" t="n">
        <v>282</v>
      </c>
      <c r="E284" s="3" t="n">
        <v>45897</v>
      </c>
      <c r="F284" t="inlineStr">
        <is>
          <t>Punto de Acuerdo</t>
        </is>
      </c>
      <c r="G284" t="inlineStr">
        <is>
          <t>Acuerdo por el cual el acuerdo para exhortar a los doscientos doce ayuntamientos y cinco concejos municipales, a la Secretaría de Medio Ambiente, Desarrollo Sustentable y Ordenamiento Territorial y a la Secretaría de Agricultura y Desarrollo Rural, ambas del estado, para que en el ámbito de sus competencias y de manera coordinada observen y difundan el contenido de la norma oficial mexicana nom- 015-semarnat/agricultura-2023</t>
        </is>
      </c>
      <c r="H284" t="n">
        <v>5</v>
      </c>
      <c r="I284" t="inlineStr">
        <is>
          <t>Medio Ambiente</t>
        </is>
      </c>
      <c r="J284" t="n">
        <v>8</v>
      </c>
      <c r="K284" t="n">
        <v>0</v>
      </c>
      <c r="L284" t="n">
        <v>0</v>
      </c>
      <c r="M284" t="n">
        <v>33</v>
      </c>
      <c r="N284">
        <f>SUM(J284:M284)</f>
        <v/>
      </c>
      <c r="O284" s="4">
        <f>SUM(J284:L284)/SUM(J284:M284)</f>
        <v/>
      </c>
      <c r="P284" s="5">
        <f>MAX(J284:L284)/SUM(J284:L284)</f>
        <v/>
      </c>
    </row>
    <row r="285">
      <c r="A285" t="inlineStr">
        <is>
          <t>Primer año</t>
        </is>
      </c>
      <c r="B285" t="inlineStr">
        <is>
          <t>Tercer periodo</t>
        </is>
      </c>
      <c r="C285" t="n">
        <v>112</v>
      </c>
      <c r="D285" t="n">
        <v>283</v>
      </c>
      <c r="E285" s="3" t="n">
        <v>45897</v>
      </c>
      <c r="F285" t="inlineStr">
        <is>
          <t>Punto de Acuerdo</t>
        </is>
      </c>
      <c r="G285" t="inlineStr">
        <is>
          <t>Acuerdo por el cual el acuerdo que exhorta a la Secretaría de Educación Pública para que, de manera coordinada con la Secretaría de Salud, ambas del estado, implementen acciones de prevención, identificación, atención y diagnóstico de casos de acoso escolar o bullying</t>
        </is>
      </c>
      <c r="H285" t="n">
        <v>6</v>
      </c>
      <c r="I285" t="inlineStr">
        <is>
          <t>Salud</t>
        </is>
      </c>
      <c r="J285" t="n">
        <v>8</v>
      </c>
      <c r="K285" t="n">
        <v>0</v>
      </c>
      <c r="L285" t="n">
        <v>0</v>
      </c>
      <c r="M285" t="n">
        <v>33</v>
      </c>
      <c r="N285">
        <f>SUM(J285:M285)</f>
        <v/>
      </c>
      <c r="O285" s="4">
        <f>SUM(J285:L285)/SUM(J285:M285)</f>
        <v/>
      </c>
      <c r="P285" s="5">
        <f>MAX(J285:L285)/SUM(J285:L285)</f>
        <v/>
      </c>
    </row>
    <row r="286">
      <c r="A286" t="inlineStr">
        <is>
          <t>Primer año</t>
        </is>
      </c>
      <c r="B286" t="inlineStr">
        <is>
          <t>Tercer periodo</t>
        </is>
      </c>
      <c r="C286" t="n">
        <v>113</v>
      </c>
      <c r="D286" t="n">
        <v>284</v>
      </c>
      <c r="E286" s="3" t="n">
        <v>45897</v>
      </c>
      <c r="F286" t="inlineStr">
        <is>
          <t>Punto de Acuerdo</t>
        </is>
      </c>
      <c r="G286" t="inlineStr">
        <is>
          <t>Acuerdo por el cual el acuerdo que exhorta a la Secretaría de Educación Pública para que, en coordinación con la Secretaría de Salud, ambas del estado, implementen acciones preventivas encaminadas a evitar la propagación del virus Coxsackie</t>
        </is>
      </c>
      <c r="H286" t="n">
        <v>6</v>
      </c>
      <c r="I286" t="inlineStr">
        <is>
          <t>Salud</t>
        </is>
      </c>
      <c r="J286" t="n">
        <v>8</v>
      </c>
      <c r="K286" t="n">
        <v>0</v>
      </c>
      <c r="L286" t="n">
        <v>0</v>
      </c>
      <c r="M286" t="n">
        <v>33</v>
      </c>
      <c r="N286">
        <f>SUM(J286:M286)</f>
        <v/>
      </c>
      <c r="O286" s="4">
        <f>SUM(J286:L286)/SUM(J286:M286)</f>
        <v/>
      </c>
      <c r="P286" s="5">
        <f>MAX(J286:L286)/SUM(J286:L286)</f>
        <v/>
      </c>
    </row>
    <row r="287">
      <c r="A287" t="inlineStr">
        <is>
          <t>Primer año</t>
        </is>
      </c>
      <c r="B287" t="inlineStr">
        <is>
          <t>Tercer periodo</t>
        </is>
      </c>
      <c r="C287" t="n">
        <v>114</v>
      </c>
      <c r="D287" t="n">
        <v>285</v>
      </c>
      <c r="E287" s="3" t="n">
        <v>45897</v>
      </c>
      <c r="F287" t="inlineStr">
        <is>
          <t>Punto de Acuerdo</t>
        </is>
      </c>
      <c r="G287" t="inlineStr">
        <is>
          <t>Acuerdo por el cual el acuerdo que exhorta a la Secretaría de Desarrollo Económico y Trabajo del estado, para que en el ámbito de su competencia y en coordinación con los municipios de Ajalpan, Altepexi, Coxcatlán, Zinacatepec, San Gabriel Chilac y San José Miahuatlán, promuevan la generación de fuentes de empleo, la atracción de inversiones y el impulso de proyectos de emprendimiento</t>
        </is>
      </c>
      <c r="H287" t="n">
        <v>1</v>
      </c>
      <c r="I287" t="inlineStr">
        <is>
          <t>Economía, Comercio y Competitividad</t>
        </is>
      </c>
      <c r="J287" t="n">
        <v>8</v>
      </c>
      <c r="K287" t="n">
        <v>0</v>
      </c>
      <c r="L287" t="n">
        <v>0</v>
      </c>
      <c r="M287" t="n">
        <v>33</v>
      </c>
      <c r="N287">
        <f>SUM(J287:M287)</f>
        <v/>
      </c>
      <c r="O287" s="4">
        <f>SUM(J287:L287)/SUM(J287:M287)</f>
        <v/>
      </c>
      <c r="P287" s="5">
        <f>MAX(J287:L287)/SUM(J287:L287)</f>
        <v/>
      </c>
    </row>
    <row r="288">
      <c r="A288" t="inlineStr">
        <is>
          <t>Primer año</t>
        </is>
      </c>
      <c r="B288" t="inlineStr">
        <is>
          <t>Tercer periodo</t>
        </is>
      </c>
      <c r="C288" t="n">
        <v>115</v>
      </c>
      <c r="D288" t="n">
        <v>286</v>
      </c>
      <c r="E288" s="3" t="n">
        <v>45897</v>
      </c>
      <c r="F288" t="inlineStr">
        <is>
          <t>Punto de Acuerdo</t>
        </is>
      </c>
      <c r="G288" t="inlineStr">
        <is>
          <t>Acuerdo por el cual el acuerdo que exhorta a la Secretaría de Desarrollo Económico y Trabajo, y a los doscientos doce ayuntamientos y cinco concejos municipales del estado para que impulsen acciones de orientación y sensibilización sobre la reforma a la Ley Federal del Trabajo conocida como ley silla</t>
        </is>
      </c>
      <c r="H288" t="n">
        <v>16</v>
      </c>
      <c r="I288" t="inlineStr">
        <is>
          <t>Trabajo y Previsión Social</t>
        </is>
      </c>
      <c r="J288" t="n">
        <v>8</v>
      </c>
      <c r="K288" t="n">
        <v>0</v>
      </c>
      <c r="L288" t="n">
        <v>0</v>
      </c>
      <c r="M288" t="n">
        <v>33</v>
      </c>
      <c r="N288">
        <f>SUM(J288:M288)</f>
        <v/>
      </c>
      <c r="O288" s="4">
        <f>SUM(J288:L288)/SUM(J288:M288)</f>
        <v/>
      </c>
      <c r="P288" s="5">
        <f>MAX(J288:L288)/SUM(J288:L288)</f>
        <v/>
      </c>
    </row>
    <row r="289">
      <c r="A289" t="inlineStr">
        <is>
          <t>Primer año</t>
        </is>
      </c>
      <c r="B289" t="inlineStr">
        <is>
          <t>Tercer periodo</t>
        </is>
      </c>
      <c r="C289" t="n">
        <v>116</v>
      </c>
      <c r="D289" t="n">
        <v>287</v>
      </c>
      <c r="E289" s="3" t="n">
        <v>45897</v>
      </c>
      <c r="F289" t="inlineStr">
        <is>
          <t>Punto de Acuerdo</t>
        </is>
      </c>
      <c r="G289" t="inlineStr">
        <is>
          <t>Acuerdo por el cual el acuerdo que exhorta al Instituto Poblano de los Pueblos Indígenas para que realice de forma gradual la traducción del orden jurídico poblano a las diversas lenguas indígenas reconocidas en la entidad</t>
        </is>
      </c>
      <c r="H289" t="n">
        <v>18</v>
      </c>
      <c r="I289" t="inlineStr">
        <is>
          <t>Administración Pública</t>
        </is>
      </c>
      <c r="J289" t="n">
        <v>9</v>
      </c>
      <c r="K289" t="n">
        <v>0</v>
      </c>
      <c r="L289" t="n">
        <v>0</v>
      </c>
      <c r="M289" t="n">
        <v>0</v>
      </c>
      <c r="N289">
        <f>SUM(J289:M289)</f>
        <v/>
      </c>
      <c r="O289" s="4">
        <f>SUM(J289:L289)/SUM(J289:M289)</f>
        <v/>
      </c>
      <c r="P289" s="5">
        <f>MAX(J289:L289)/SUM(J289:L289)</f>
        <v/>
      </c>
    </row>
    <row r="290">
      <c r="A290" t="inlineStr">
        <is>
          <t>Primer año</t>
        </is>
      </c>
      <c r="B290" t="inlineStr">
        <is>
          <t>Tercer periodo</t>
        </is>
      </c>
      <c r="C290" t="n">
        <v>117</v>
      </c>
      <c r="D290" t="n">
        <v>288</v>
      </c>
      <c r="E290" s="3" t="n">
        <v>45897</v>
      </c>
      <c r="F290" t="inlineStr">
        <is>
          <t>Punto de Acuerdo</t>
        </is>
      </c>
      <c r="G290" t="inlineStr">
        <is>
          <t>Acuerdo por el cual el acuerdo que exhorta a la Secretaría de Planeación, Finanzas y Administración del estado para que realice visitas domiciliarias y de verificación de mercancías de procedencia extranjera en establecimientos comerciales</t>
        </is>
      </c>
      <c r="H290" t="n">
        <v>1</v>
      </c>
      <c r="I290" t="inlineStr">
        <is>
          <t>Economía, Comercio y Competitividad</t>
        </is>
      </c>
      <c r="J290" t="n">
        <v>9</v>
      </c>
      <c r="K290" t="n">
        <v>0</v>
      </c>
      <c r="L290" t="n">
        <v>0</v>
      </c>
      <c r="M290" t="n">
        <v>0</v>
      </c>
      <c r="N290">
        <f>SUM(J290:M290)</f>
        <v/>
      </c>
      <c r="O290" s="4">
        <f>SUM(J290:L290)/SUM(J290:M290)</f>
        <v/>
      </c>
      <c r="P290" s="5">
        <f>MAX(J290:L290)/SUM(J290:L290)</f>
        <v/>
      </c>
    </row>
    <row r="291">
      <c r="A291" t="inlineStr">
        <is>
          <t>Primer año</t>
        </is>
      </c>
      <c r="B291" t="inlineStr">
        <is>
          <t>Tercer periodo</t>
        </is>
      </c>
      <c r="C291" t="n">
        <v>118</v>
      </c>
      <c r="D291" t="n">
        <v>289</v>
      </c>
      <c r="E291" s="3" t="n">
        <v>45897</v>
      </c>
      <c r="F291" t="inlineStr">
        <is>
          <t>Punto de Acuerdo</t>
        </is>
      </c>
      <c r="G291" t="inlineStr">
        <is>
          <t>Acuerdo por el cual el acuerdo que exhorta a las secretarías de Arte y Cultura; y a la de Desarrollo Turístico para que promuevan y difundan la feria de los muertos del municipio de Zacatlán</t>
        </is>
      </c>
      <c r="H291" t="n">
        <v>8</v>
      </c>
      <c r="I291" t="inlineStr">
        <is>
          <t>Educación y Cultura</t>
        </is>
      </c>
      <c r="J291" t="n">
        <v>9</v>
      </c>
      <c r="K291" t="n">
        <v>0</v>
      </c>
      <c r="L291" t="n">
        <v>0</v>
      </c>
      <c r="M291" t="n">
        <v>0</v>
      </c>
      <c r="N291">
        <f>SUM(J291:M291)</f>
        <v/>
      </c>
      <c r="O291" s="4">
        <f>SUM(J291:L291)/SUM(J291:M291)</f>
        <v/>
      </c>
      <c r="P291" s="5">
        <f>MAX(J291:L291)/SUM(J291:L291)</f>
        <v/>
      </c>
    </row>
    <row r="292">
      <c r="A292" t="inlineStr">
        <is>
          <t>Primer año</t>
        </is>
      </c>
      <c r="B292" t="inlineStr">
        <is>
          <t>Tercer periodo</t>
        </is>
      </c>
      <c r="C292" t="n">
        <v>119</v>
      </c>
      <c r="D292" t="n">
        <v>290</v>
      </c>
      <c r="E292" s="3" t="n">
        <v>45897</v>
      </c>
      <c r="F292" t="inlineStr">
        <is>
          <t>Punto de Acuerdo</t>
        </is>
      </c>
      <c r="G292" t="inlineStr">
        <is>
          <t>Acuerdo por el cual el acuerdo que exhorta a la Secretaría de Arte y Cultura del estado para que realice las acciones necesarias a fin de que el adobo de Tepanco sea declarado patrimonio cultural intangible del estado</t>
        </is>
      </c>
      <c r="H292" t="n">
        <v>8</v>
      </c>
      <c r="I292" t="inlineStr">
        <is>
          <t>Educación y Cultura</t>
        </is>
      </c>
      <c r="J292" t="n">
        <v>9</v>
      </c>
      <c r="K292" t="n">
        <v>0</v>
      </c>
      <c r="L292" t="n">
        <v>0</v>
      </c>
      <c r="M292" t="n">
        <v>0</v>
      </c>
      <c r="N292">
        <f>SUM(J292:M292)</f>
        <v/>
      </c>
      <c r="O292" s="4">
        <f>SUM(J292:L292)/SUM(J292:M292)</f>
        <v/>
      </c>
      <c r="P292" s="5">
        <f>MAX(J292:L292)/SUM(J292:L292)</f>
        <v/>
      </c>
    </row>
    <row r="293">
      <c r="A293" t="inlineStr">
        <is>
          <t>Primer año</t>
        </is>
      </c>
      <c r="B293" t="inlineStr">
        <is>
          <t>Tercer periodo</t>
        </is>
      </c>
      <c r="C293" t="n">
        <v>120</v>
      </c>
      <c r="D293" t="n">
        <v>291</v>
      </c>
      <c r="E293" s="3" t="n">
        <v>45904</v>
      </c>
      <c r="F293" t="inlineStr">
        <is>
          <t>Punto de Acuerdo</t>
        </is>
      </c>
      <c r="G293" t="inlineStr">
        <is>
          <t>Acuerdo por el que se exhorta al Sistema Operador de los Servicios de Agua Potable y Alcantarillado del municipio de Puebla y al consorcio “Agua de Puebla para todos” concesiones integrales, S.A de C.V.</t>
        </is>
      </c>
      <c r="H293" t="n">
        <v>11</v>
      </c>
      <c r="I293" t="inlineStr">
        <is>
          <t>Infraestructura, Movilidad y Transporte</t>
        </is>
      </c>
      <c r="J293" t="n">
        <v>9</v>
      </c>
      <c r="K293" t="n">
        <v>0</v>
      </c>
      <c r="L293" t="n">
        <v>0</v>
      </c>
      <c r="M293" t="n">
        <v>0</v>
      </c>
      <c r="N293">
        <f>SUM(J293:M293)</f>
        <v/>
      </c>
      <c r="O293" s="4">
        <f>SUM(J293:L293)/SUM(J293:M293)</f>
        <v/>
      </c>
      <c r="P293" s="5">
        <f>MAX(J293:L293)/SUM(J293:L293)</f>
        <v/>
      </c>
    </row>
    <row r="294">
      <c r="A294" t="inlineStr">
        <is>
          <t>Primer año</t>
        </is>
      </c>
      <c r="B294" t="inlineStr">
        <is>
          <t>Tercer periodo</t>
        </is>
      </c>
      <c r="C294" t="n">
        <v>121</v>
      </c>
      <c r="D294" t="n">
        <v>292</v>
      </c>
      <c r="E294" s="3" t="n">
        <v>45904</v>
      </c>
      <c r="F294" t="inlineStr">
        <is>
          <t>Punto de Acuerdo</t>
        </is>
      </c>
      <c r="G294" t="inlineStr">
        <is>
          <t>Acuerdo por el que se exhorta a los doscientos doce ayuntamientos y a los cinco concejos municipales del estado</t>
        </is>
      </c>
      <c r="H294" t="n">
        <v>7</v>
      </c>
      <c r="I294" t="inlineStr">
        <is>
          <t>Impuestos, Finanzas Públicas, Patrimonio estatal y municipal</t>
        </is>
      </c>
      <c r="J294" t="n">
        <v>9</v>
      </c>
      <c r="K294" t="n">
        <v>0</v>
      </c>
      <c r="L294" t="n">
        <v>0</v>
      </c>
      <c r="M294" t="n">
        <v>0</v>
      </c>
      <c r="N294">
        <f>SUM(J294:M294)</f>
        <v/>
      </c>
      <c r="O294" s="4">
        <f>SUM(J294:L294)/SUM(J294:M294)</f>
        <v/>
      </c>
      <c r="P294" s="5">
        <f>MAX(J294:L294)/SUM(J294:L294)</f>
        <v/>
      </c>
    </row>
    <row r="295">
      <c r="A295" t="inlineStr">
        <is>
          <t>Primer año</t>
        </is>
      </c>
      <c r="B295" t="inlineStr">
        <is>
          <t>Tercer periodo</t>
        </is>
      </c>
      <c r="C295" t="n">
        <v>122</v>
      </c>
      <c r="D295" t="n">
        <v>293</v>
      </c>
      <c r="E295" s="3" t="n">
        <v>45904</v>
      </c>
      <c r="F295" t="inlineStr">
        <is>
          <t>Punto de Acuerdo</t>
        </is>
      </c>
      <c r="G295" t="inlineStr">
        <is>
          <t>Acuerdo por el que se exhorta a las Secretarías de Educación Pública y de Ciencia, Humanidades, Tecnología e Innovación</t>
        </is>
      </c>
      <c r="H295" t="n">
        <v>8</v>
      </c>
      <c r="I295" t="inlineStr">
        <is>
          <t>Educación y Cultura</t>
        </is>
      </c>
      <c r="J295" t="n">
        <v>9</v>
      </c>
      <c r="K295" t="n">
        <v>0</v>
      </c>
      <c r="L295" t="n">
        <v>0</v>
      </c>
      <c r="M295" t="n">
        <v>0</v>
      </c>
      <c r="N295">
        <f>SUM(J295:M295)</f>
        <v/>
      </c>
      <c r="O295" s="4">
        <f>SUM(J295:L295)/SUM(J295:M295)</f>
        <v/>
      </c>
      <c r="P295" s="5">
        <f>MAX(J295:L295)/SUM(J295:L295)</f>
        <v/>
      </c>
    </row>
    <row r="296">
      <c r="A296" t="inlineStr">
        <is>
          <t>Primer año</t>
        </is>
      </c>
      <c r="B296" t="inlineStr">
        <is>
          <t>Tercer periodo</t>
        </is>
      </c>
      <c r="C296" t="n">
        <v>123</v>
      </c>
      <c r="D296" t="n">
        <v>294</v>
      </c>
      <c r="E296" s="3" t="n">
        <v>45904</v>
      </c>
      <c r="F296" t="inlineStr">
        <is>
          <t>Punto de Acuerdo</t>
        </is>
      </c>
      <c r="G296" t="inlineStr">
        <is>
          <t>Acuerdo por el que se exhorta a la Secretaría de Salud del estado</t>
        </is>
      </c>
      <c r="H296" t="n">
        <v>6</v>
      </c>
      <c r="I296" t="inlineStr">
        <is>
          <t>Salud</t>
        </is>
      </c>
      <c r="J296" t="n">
        <v>9</v>
      </c>
      <c r="K296" t="n">
        <v>0</v>
      </c>
      <c r="L296" t="n">
        <v>0</v>
      </c>
      <c r="M296" t="n">
        <v>0</v>
      </c>
      <c r="N296">
        <f>SUM(J296:M296)</f>
        <v/>
      </c>
      <c r="O296" s="4">
        <f>SUM(J296:L296)/SUM(J296:M296)</f>
        <v/>
      </c>
      <c r="P296" s="5">
        <f>MAX(J296:L296)/SUM(J296:L296)</f>
        <v/>
      </c>
    </row>
    <row r="297">
      <c r="A297" t="inlineStr">
        <is>
          <t>Primer año</t>
        </is>
      </c>
      <c r="B297" t="inlineStr">
        <is>
          <t>Tercer periodo</t>
        </is>
      </c>
      <c r="C297" t="n">
        <v>124</v>
      </c>
      <c r="D297" t="n">
        <v>295</v>
      </c>
      <c r="E297" s="3" t="n">
        <v>45904</v>
      </c>
      <c r="F297" t="inlineStr">
        <is>
          <t>Punto de Acuerdo</t>
        </is>
      </c>
      <c r="G297" t="inlineStr">
        <is>
          <t>Acuerdo por el que se exhorta a la Secretaría de Salud del estado y al Instituto de Seguridad y Servicios Sociales de los Trabajadores al Servicio de los Poderes del Estado de Puebla</t>
        </is>
      </c>
      <c r="H297" t="n">
        <v>6</v>
      </c>
      <c r="I297" t="inlineStr">
        <is>
          <t>Salud</t>
        </is>
      </c>
      <c r="J297" t="n">
        <v>9</v>
      </c>
      <c r="K297" t="n">
        <v>0</v>
      </c>
      <c r="L297" t="n">
        <v>0</v>
      </c>
      <c r="M297" t="n">
        <v>0</v>
      </c>
      <c r="N297">
        <f>SUM(J297:M297)</f>
        <v/>
      </c>
      <c r="O297" s="4">
        <f>SUM(J297:L297)/SUM(J297:M297)</f>
        <v/>
      </c>
      <c r="P297" s="5">
        <f>MAX(J297:L297)/SUM(J297:L297)</f>
        <v/>
      </c>
    </row>
    <row r="298">
      <c r="A298" t="inlineStr">
        <is>
          <t>Primer año</t>
        </is>
      </c>
      <c r="B298" t="inlineStr">
        <is>
          <t>Tercer periodo</t>
        </is>
      </c>
      <c r="C298" t="n">
        <v>125</v>
      </c>
      <c r="D298" t="n">
        <v>296</v>
      </c>
      <c r="E298" s="3" t="n">
        <v>45904</v>
      </c>
      <c r="F298" t="inlineStr">
        <is>
          <t>Punto de Acuerdo</t>
        </is>
      </c>
      <c r="G298" t="inlineStr">
        <is>
          <t>Acuerdo por el que se exhorta a la Secretaría de Gobernación del estado</t>
        </is>
      </c>
      <c r="H298" t="n">
        <v>18</v>
      </c>
      <c r="I298" t="inlineStr">
        <is>
          <t>Administración Pública</t>
        </is>
      </c>
      <c r="J298" t="n">
        <v>9</v>
      </c>
      <c r="K298" t="n">
        <v>0</v>
      </c>
      <c r="L298" t="n">
        <v>0</v>
      </c>
      <c r="M298" t="n">
        <v>0</v>
      </c>
      <c r="N298">
        <f>SUM(J298:M298)</f>
        <v/>
      </c>
      <c r="O298" s="4">
        <f>SUM(J298:L298)/SUM(J298:M298)</f>
        <v/>
      </c>
      <c r="P298" s="5">
        <f>MAX(J298:L298)/SUM(J298:L298)</f>
        <v/>
      </c>
    </row>
    <row r="299">
      <c r="A299" t="inlineStr">
        <is>
          <t>Primer año</t>
        </is>
      </c>
      <c r="B299" t="inlineStr">
        <is>
          <t>Tercer periodo</t>
        </is>
      </c>
      <c r="C299" t="n">
        <v>126</v>
      </c>
      <c r="D299" t="n">
        <v>297</v>
      </c>
      <c r="E299" s="3" t="n">
        <v>45904</v>
      </c>
      <c r="F299" t="inlineStr">
        <is>
          <t>Punto de Acuerdo</t>
        </is>
      </c>
      <c r="G299" t="inlineStr">
        <is>
          <t>Acuerdo por el que se exhorta a la Dirección General del Registro del Estado Civil de las Personas y a la Secretaría de Planeación, Finanzas y Administración</t>
        </is>
      </c>
      <c r="H299" t="n">
        <v>18</v>
      </c>
      <c r="I299" t="inlineStr">
        <is>
          <t>Administración Pública</t>
        </is>
      </c>
      <c r="J299" t="n">
        <v>9</v>
      </c>
      <c r="K299" t="n">
        <v>0</v>
      </c>
      <c r="L299" t="n">
        <v>0</v>
      </c>
      <c r="M299" t="n">
        <v>0</v>
      </c>
      <c r="N299">
        <f>SUM(J299:M299)</f>
        <v/>
      </c>
      <c r="O299" s="4">
        <f>SUM(J299:L299)/SUM(J299:M299)</f>
        <v/>
      </c>
      <c r="P299" s="5">
        <f>MAX(J299:L299)/SUM(J299:L299)</f>
        <v/>
      </c>
    </row>
    <row r="300">
      <c r="A300" t="inlineStr">
        <is>
          <t>Primer año</t>
        </is>
      </c>
      <c r="B300" t="inlineStr">
        <is>
          <t>Tercer periodo</t>
        </is>
      </c>
      <c r="C300" t="n">
        <v>127</v>
      </c>
      <c r="D300" t="n">
        <v>298</v>
      </c>
      <c r="E300" s="3" t="n">
        <v>45904</v>
      </c>
      <c r="F300" t="inlineStr">
        <is>
          <t>Punto de Acuerdo</t>
        </is>
      </c>
      <c r="G300" t="inlineStr">
        <is>
          <t>Acuerdo por el que se exhorta a los doscientos doce ayuntamientos y a los cinco concejos municipales del estado</t>
        </is>
      </c>
      <c r="H300" t="n">
        <v>16</v>
      </c>
      <c r="I300" t="inlineStr">
        <is>
          <t>Trabajo y Previsión Social</t>
        </is>
      </c>
      <c r="J300" t="n">
        <v>9</v>
      </c>
      <c r="K300" t="n">
        <v>0</v>
      </c>
      <c r="L300" t="n">
        <v>0</v>
      </c>
      <c r="M300" t="n">
        <v>0</v>
      </c>
      <c r="N300">
        <f>SUM(J300:M300)</f>
        <v/>
      </c>
      <c r="O300" s="4">
        <f>SUM(J300:L300)/SUM(J300:M300)</f>
        <v/>
      </c>
      <c r="P300" s="5">
        <f>MAX(J300:L300)/SUM(J300:L300)</f>
        <v/>
      </c>
    </row>
    <row r="301">
      <c r="A301" t="inlineStr">
        <is>
          <t>Primer año</t>
        </is>
      </c>
      <c r="B301" t="inlineStr">
        <is>
          <t>Tercer periodo</t>
        </is>
      </c>
      <c r="C301" t="n">
        <v>128</v>
      </c>
      <c r="D301" t="n">
        <v>299</v>
      </c>
      <c r="E301" s="3" t="n">
        <v>45904</v>
      </c>
      <c r="F301" t="inlineStr">
        <is>
          <t>Punto de Acuerdo</t>
        </is>
      </c>
      <c r="G301" t="inlineStr">
        <is>
          <t>Acuerdo por el que se exhorta a los doscientos doce ayuntamientos y a los cinco concejos municipales del estado</t>
        </is>
      </c>
      <c r="H301" t="n">
        <v>8</v>
      </c>
      <c r="I301" t="inlineStr">
        <is>
          <t>Educación y Cultura</t>
        </is>
      </c>
      <c r="J301" t="n">
        <v>9</v>
      </c>
      <c r="K301" t="n">
        <v>0</v>
      </c>
      <c r="L301" t="n">
        <v>0</v>
      </c>
      <c r="M301" t="n">
        <v>0</v>
      </c>
      <c r="N301">
        <f>SUM(J301:M301)</f>
        <v/>
      </c>
      <c r="O301" s="4">
        <f>SUM(J301:L301)/SUM(J301:M301)</f>
        <v/>
      </c>
      <c r="P301" s="5">
        <f>MAX(J301:L301)/SUM(J301:L301)</f>
        <v/>
      </c>
    </row>
    <row r="302">
      <c r="A302" t="inlineStr">
        <is>
          <t>Primer año</t>
        </is>
      </c>
      <c r="B302" t="inlineStr">
        <is>
          <t>Tercer periodo</t>
        </is>
      </c>
      <c r="C302" t="n">
        <v>129</v>
      </c>
      <c r="D302" t="n">
        <v>300</v>
      </c>
      <c r="E302" s="3" t="n">
        <v>45904</v>
      </c>
      <c r="F302" t="inlineStr">
        <is>
          <t>Punto de Acuerdo</t>
        </is>
      </c>
      <c r="G302" t="inlineStr">
        <is>
          <t>Acuerdo por el que se exhorta a los doscientos doce ayuntamientos y cinco concejos municipales de la entidad</t>
        </is>
      </c>
      <c r="H302" t="n">
        <v>20</v>
      </c>
      <c r="I302" t="inlineStr">
        <is>
          <t>Justicia y Estado de Derecho en temas de Mujeres</t>
        </is>
      </c>
      <c r="J302" t="n">
        <v>9</v>
      </c>
      <c r="K302" t="n">
        <v>0</v>
      </c>
      <c r="L302" t="n">
        <v>0</v>
      </c>
      <c r="M302" t="n">
        <v>0</v>
      </c>
      <c r="N302">
        <f>SUM(J302:M302)</f>
        <v/>
      </c>
      <c r="O302" s="4">
        <f>SUM(J302:L302)/SUM(J302:M302)</f>
        <v/>
      </c>
      <c r="P302" s="5">
        <f>MAX(J302:L302)/SUM(J302:L302)</f>
        <v/>
      </c>
    </row>
    <row r="303">
      <c r="A303" t="inlineStr">
        <is>
          <t>Primer año</t>
        </is>
      </c>
      <c r="B303" t="inlineStr">
        <is>
          <t>Tercer periodo</t>
        </is>
      </c>
      <c r="C303" t="n">
        <v>130</v>
      </c>
      <c r="D303" t="n">
        <v>301</v>
      </c>
      <c r="E303" s="3" t="n">
        <v>45904</v>
      </c>
      <c r="F303" t="inlineStr">
        <is>
          <t>Punto de Acuerdo</t>
        </is>
      </c>
      <c r="G303" t="inlineStr">
        <is>
          <t>Acuerdo por el que se exhorta a la Secretaría de Desarrollo Turístico del estado de Puebla</t>
        </is>
      </c>
      <c r="H303" t="n">
        <v>1</v>
      </c>
      <c r="I303" t="inlineStr">
        <is>
          <t>Economía, Comercio y Competitividad</t>
        </is>
      </c>
      <c r="J303" t="n">
        <v>9</v>
      </c>
      <c r="K303" t="n">
        <v>0</v>
      </c>
      <c r="L303" t="n">
        <v>0</v>
      </c>
      <c r="M303" t="n">
        <v>0</v>
      </c>
      <c r="N303">
        <f>SUM(J303:M303)</f>
        <v/>
      </c>
      <c r="O303" s="4">
        <f>SUM(J303:L303)/SUM(J303:M303)</f>
        <v/>
      </c>
      <c r="P303" s="5">
        <f>MAX(J303:L303)/SUM(J303:L303)</f>
        <v/>
      </c>
    </row>
    <row r="304">
      <c r="A304" t="inlineStr">
        <is>
          <t>Primer año</t>
        </is>
      </c>
      <c r="B304" t="inlineStr">
        <is>
          <t>Tercer periodo</t>
        </is>
      </c>
      <c r="C304" t="n">
        <v>131</v>
      </c>
      <c r="D304" t="n">
        <v>302</v>
      </c>
      <c r="E304" s="3" t="n">
        <v>45904</v>
      </c>
      <c r="F304" t="inlineStr">
        <is>
          <t>Punto de Acuerdo</t>
        </is>
      </c>
      <c r="G304" t="inlineStr">
        <is>
          <t>Acuerdo por el que se exhorta a la Secretaría de Movilidad y Transporte del estado</t>
        </is>
      </c>
      <c r="H304" t="n">
        <v>11</v>
      </c>
      <c r="I304" t="inlineStr">
        <is>
          <t>Infraestructura, Movilidad y Transporte</t>
        </is>
      </c>
      <c r="J304" t="n">
        <v>9</v>
      </c>
      <c r="K304" t="n">
        <v>0</v>
      </c>
      <c r="L304" t="n">
        <v>0</v>
      </c>
      <c r="M304" t="n">
        <v>0</v>
      </c>
      <c r="N304">
        <f>SUM(J304:M304)</f>
        <v/>
      </c>
      <c r="O304" s="4">
        <f>SUM(J304:L304)/SUM(J304:M304)</f>
        <v/>
      </c>
      <c r="P304" s="5">
        <f>MAX(J304:L304)/SUM(J304:L304)</f>
        <v/>
      </c>
    </row>
    <row r="305">
      <c r="A305" t="inlineStr">
        <is>
          <t>Primer año</t>
        </is>
      </c>
      <c r="B305" t="inlineStr">
        <is>
          <t>Tercer periodo</t>
        </is>
      </c>
      <c r="C305" t="n">
        <v>132</v>
      </c>
      <c r="D305" t="n">
        <v>303</v>
      </c>
      <c r="E305" s="3" t="n">
        <v>45904</v>
      </c>
      <c r="F305" t="inlineStr">
        <is>
          <t>Punto de Acuerdo</t>
        </is>
      </c>
      <c r="G305" t="inlineStr">
        <is>
          <t>Acuerdo por el que se exhorta a la Secretaría de Movilidad y Transportes del estado</t>
        </is>
      </c>
      <c r="H305" t="n">
        <v>11</v>
      </c>
      <c r="I305" t="inlineStr">
        <is>
          <t>Infraestructura, Movilidad y Transporte</t>
        </is>
      </c>
      <c r="J305" t="n">
        <v>9</v>
      </c>
      <c r="K305" t="n">
        <v>0</v>
      </c>
      <c r="L305" t="n">
        <v>0</v>
      </c>
      <c r="M305" t="n">
        <v>0</v>
      </c>
      <c r="N305">
        <f>SUM(J305:M305)</f>
        <v/>
      </c>
      <c r="O305" s="4">
        <f>SUM(J305:L305)/SUM(J305:M305)</f>
        <v/>
      </c>
      <c r="P305" s="5">
        <f>MAX(J305:L305)/SUM(J305:L305)</f>
        <v/>
      </c>
    </row>
    <row r="306">
      <c r="A306" t="inlineStr">
        <is>
          <t>Primer año</t>
        </is>
      </c>
      <c r="B306" t="inlineStr">
        <is>
          <t>Tercer periodo</t>
        </is>
      </c>
      <c r="C306" t="n">
        <v>133</v>
      </c>
      <c r="D306" t="n">
        <v>304</v>
      </c>
      <c r="E306" s="3" t="n">
        <v>45904</v>
      </c>
      <c r="F306" t="inlineStr">
        <is>
          <t>Punto de Acuerdo</t>
        </is>
      </c>
      <c r="G306" t="inlineStr">
        <is>
          <t>Acuerdo por el que se exhorta a los doscientos doce ayuntamientos y a los cinco concejos municipales del estado</t>
        </is>
      </c>
      <c r="H306" t="n">
        <v>11</v>
      </c>
      <c r="I306" t="inlineStr">
        <is>
          <t>Infraestructura, Movilidad y Transporte</t>
        </is>
      </c>
      <c r="J306" t="n">
        <v>9</v>
      </c>
      <c r="K306" t="n">
        <v>0</v>
      </c>
      <c r="L306" t="n">
        <v>0</v>
      </c>
      <c r="M306" t="n">
        <v>0</v>
      </c>
      <c r="N306">
        <f>SUM(J306:M306)</f>
        <v/>
      </c>
      <c r="O306" s="4">
        <f>SUM(J306:L306)/SUM(J306:M306)</f>
        <v/>
      </c>
      <c r="P306" s="5">
        <f>MAX(J306:L306)/SUM(J306:L306)</f>
        <v/>
      </c>
    </row>
    <row r="307">
      <c r="A307" t="inlineStr">
        <is>
          <t>Primer año</t>
        </is>
      </c>
      <c r="B307" t="inlineStr">
        <is>
          <t>Tercer periodo</t>
        </is>
      </c>
      <c r="C307" t="n">
        <v>134</v>
      </c>
      <c r="D307" t="n">
        <v>305</v>
      </c>
      <c r="E307" s="3" t="n">
        <v>45904</v>
      </c>
      <c r="F307" t="inlineStr">
        <is>
          <t>Punto de Acuerdo</t>
        </is>
      </c>
      <c r="G307" t="inlineStr">
        <is>
          <t>Acuerdo por el que se exhorta a los doscientos doce ayuntamientos y los cinco concejos municipales del estado</t>
        </is>
      </c>
      <c r="H307" t="n">
        <v>3</v>
      </c>
      <c r="I307" t="inlineStr">
        <is>
          <t>Seguridad Pública, Protección Civil y Narcotráfico</t>
        </is>
      </c>
      <c r="J307" t="n">
        <v>9</v>
      </c>
      <c r="K307" t="n">
        <v>0</v>
      </c>
      <c r="L307" t="n">
        <v>0</v>
      </c>
      <c r="M307" t="n">
        <v>0</v>
      </c>
      <c r="N307">
        <f>SUM(J307:M307)</f>
        <v/>
      </c>
      <c r="O307" s="4">
        <f>SUM(J307:L307)/SUM(J307:M307)</f>
        <v/>
      </c>
      <c r="P307" s="5">
        <f>MAX(J307:L307)/SUM(J307:L307)</f>
        <v/>
      </c>
    </row>
    <row r="308">
      <c r="A308" t="inlineStr">
        <is>
          <t>Primer año</t>
        </is>
      </c>
      <c r="B308" t="inlineStr">
        <is>
          <t>Tercer periodo</t>
        </is>
      </c>
      <c r="C308" t="n">
        <v>135</v>
      </c>
      <c r="D308" t="n">
        <v>306</v>
      </c>
      <c r="E308" s="3" t="n">
        <v>45904</v>
      </c>
      <c r="F308" t="inlineStr">
        <is>
          <t>Punto de Acuerdo</t>
        </is>
      </c>
      <c r="G308" t="inlineStr">
        <is>
          <t>Acuerdo por el que se exhorta a los sistemas municipales de protección civil</t>
        </is>
      </c>
      <c r="H308" t="n">
        <v>3</v>
      </c>
      <c r="I308" t="inlineStr">
        <is>
          <t>Seguridad Pública, Protección Civil y Narcotráfico</t>
        </is>
      </c>
      <c r="J308" t="n">
        <v>9</v>
      </c>
      <c r="K308" t="n">
        <v>0</v>
      </c>
      <c r="L308" t="n">
        <v>0</v>
      </c>
      <c r="M308" t="n">
        <v>0</v>
      </c>
      <c r="N308">
        <f>SUM(J308:M308)</f>
        <v/>
      </c>
      <c r="O308" s="4">
        <f>SUM(J308:L308)/SUM(J308:M308)</f>
        <v/>
      </c>
      <c r="P308" s="5">
        <f>MAX(J308:L308)/SUM(J308:L308)</f>
        <v/>
      </c>
    </row>
    <row r="309">
      <c r="A309" t="inlineStr">
        <is>
          <t>Primer año</t>
        </is>
      </c>
      <c r="B309" t="inlineStr">
        <is>
          <t>Tercer periodo</t>
        </is>
      </c>
      <c r="C309" t="n">
        <v>136</v>
      </c>
      <c r="D309" t="n">
        <v>307</v>
      </c>
      <c r="E309" s="3" t="n">
        <v>45904</v>
      </c>
      <c r="F309" t="inlineStr">
        <is>
          <t>Punto de Acuerdo</t>
        </is>
      </c>
      <c r="G309" t="inlineStr">
        <is>
          <t>Acuerdo por el que se exhorta a los doscientos doce ayuntamientos y los cinco consejos municipales del estado</t>
        </is>
      </c>
      <c r="H309" t="n">
        <v>2</v>
      </c>
      <c r="I309" t="inlineStr">
        <is>
          <t>Pobreza y Política Social</t>
        </is>
      </c>
      <c r="J309" t="n">
        <v>9</v>
      </c>
      <c r="K309" t="n">
        <v>0</v>
      </c>
      <c r="L309" t="n">
        <v>0</v>
      </c>
      <c r="M309" t="n">
        <v>0</v>
      </c>
      <c r="N309">
        <f>SUM(J309:M309)</f>
        <v/>
      </c>
      <c r="O309" s="4">
        <f>SUM(J309:L309)/SUM(J309:M309)</f>
        <v/>
      </c>
      <c r="P309" s="5">
        <f>MAX(J309:L309)/SUM(J309:L309)</f>
        <v/>
      </c>
    </row>
    <row r="310">
      <c r="A310" t="inlineStr">
        <is>
          <t>Primer año</t>
        </is>
      </c>
      <c r="B310" t="inlineStr">
        <is>
          <t>Tercer periodo</t>
        </is>
      </c>
      <c r="C310" t="n">
        <v>137</v>
      </c>
      <c r="D310" t="n">
        <v>308</v>
      </c>
      <c r="E310" s="3" t="n">
        <v>45904</v>
      </c>
      <c r="F310" t="inlineStr">
        <is>
          <t>Punto de Acuerdo</t>
        </is>
      </c>
      <c r="G310" t="inlineStr">
        <is>
          <t>Acuerdo por el que se exhorta a los doscientos doce ayuntamientos y cinco concejos municipales del estado</t>
        </is>
      </c>
      <c r="H310" t="n">
        <v>11</v>
      </c>
      <c r="I310" t="inlineStr">
        <is>
          <t>Infraestructura, Movilidad y Transporte</t>
        </is>
      </c>
      <c r="J310" t="n">
        <v>9</v>
      </c>
      <c r="K310" t="n">
        <v>0</v>
      </c>
      <c r="L310" t="n">
        <v>0</v>
      </c>
      <c r="M310" t="n">
        <v>0</v>
      </c>
      <c r="N310">
        <f>SUM(J310:M310)</f>
        <v/>
      </c>
      <c r="O310" s="4">
        <f>SUM(J310:L310)/SUM(J310:M310)</f>
        <v/>
      </c>
      <c r="P310" s="5">
        <f>MAX(J310:L310)/SUM(J310:L310)</f>
        <v/>
      </c>
    </row>
    <row r="311">
      <c r="A311" t="inlineStr">
        <is>
          <t>Primer año</t>
        </is>
      </c>
      <c r="B311" t="inlineStr">
        <is>
          <t>Tercer periodo</t>
        </is>
      </c>
      <c r="C311" t="n">
        <v>138</v>
      </c>
      <c r="D311" t="n">
        <v>309</v>
      </c>
      <c r="E311" s="3" t="n">
        <v>45904</v>
      </c>
      <c r="F311" t="inlineStr">
        <is>
          <t>Punto de Acuerdo</t>
        </is>
      </c>
      <c r="G311" t="inlineStr">
        <is>
          <t>Acuerdo por el que se exhorta a los doscientos doce ayuntamientos y cinco concejos municipales del estado</t>
        </is>
      </c>
      <c r="H311" t="n">
        <v>10</v>
      </c>
      <c r="I311" t="inlineStr">
        <is>
          <t>Transparencia y Rendición de Cuentas</t>
        </is>
      </c>
      <c r="J311" t="n">
        <v>9</v>
      </c>
      <c r="K311" t="n">
        <v>0</v>
      </c>
      <c r="L311" t="n">
        <v>0</v>
      </c>
      <c r="M311" t="n">
        <v>0</v>
      </c>
      <c r="N311">
        <f>SUM(J311:M311)</f>
        <v/>
      </c>
      <c r="O311" s="4">
        <f>SUM(J311:L311)/SUM(J311:M311)</f>
        <v/>
      </c>
      <c r="P311" s="5">
        <f>MAX(J311:L311)/SUM(J311:L311)</f>
        <v/>
      </c>
    </row>
    <row r="312">
      <c r="A312" t="inlineStr">
        <is>
          <t>Primer año</t>
        </is>
      </c>
      <c r="B312" t="inlineStr">
        <is>
          <t>Tercer periodo</t>
        </is>
      </c>
      <c r="C312" t="n">
        <v>139</v>
      </c>
      <c r="D312" t="n">
        <v>310</v>
      </c>
      <c r="E312" s="3" t="n">
        <v>45904</v>
      </c>
      <c r="F312" t="inlineStr">
        <is>
          <t>Punto de Acuerdo</t>
        </is>
      </c>
      <c r="G312" t="inlineStr">
        <is>
          <t>Acuerdo por el que se exhorta a los doscientos doce ayuntamientos y cinco concejos municipales del estado</t>
        </is>
      </c>
      <c r="H312" t="n">
        <v>20</v>
      </c>
      <c r="I312" t="inlineStr">
        <is>
          <t>Justicia y Estado de Derecho en temas de Mujeres</t>
        </is>
      </c>
      <c r="J312" t="n">
        <v>9</v>
      </c>
      <c r="K312" t="n">
        <v>0</v>
      </c>
      <c r="L312" t="n">
        <v>0</v>
      </c>
      <c r="M312" t="n">
        <v>0</v>
      </c>
      <c r="N312">
        <f>SUM(J312:M312)</f>
        <v/>
      </c>
      <c r="O312" s="4">
        <f>SUM(J312:L312)/SUM(J312:M312)</f>
        <v/>
      </c>
      <c r="P312" s="5">
        <f>MAX(J312:L312)/SUM(J312:L312)</f>
        <v/>
      </c>
    </row>
    <row r="313">
      <c r="A313" t="inlineStr">
        <is>
          <t>Primer año</t>
        </is>
      </c>
      <c r="B313" t="inlineStr">
        <is>
          <t>Tercer periodo</t>
        </is>
      </c>
      <c r="C313" t="n">
        <v>140</v>
      </c>
      <c r="D313" t="n">
        <v>311</v>
      </c>
      <c r="E313" s="3" t="n">
        <v>45904</v>
      </c>
      <c r="F313" t="inlineStr">
        <is>
          <t>Punto de Acuerdo</t>
        </is>
      </c>
      <c r="G313" t="inlineStr">
        <is>
          <t>Acuerdo por el que se exhorta a los doscientos doce ayuntamientos y cinco concejos municipales de la entidad</t>
        </is>
      </c>
      <c r="H313" t="n">
        <v>20</v>
      </c>
      <c r="I313" t="inlineStr">
        <is>
          <t>Justicia y Estado de Derecho en temas de Mujeres</t>
        </is>
      </c>
      <c r="J313" t="n">
        <v>9</v>
      </c>
      <c r="K313" t="n">
        <v>0</v>
      </c>
      <c r="L313" t="n">
        <v>0</v>
      </c>
      <c r="M313" t="n">
        <v>0</v>
      </c>
      <c r="N313">
        <f>SUM(J313:M313)</f>
        <v/>
      </c>
      <c r="O313" s="4">
        <f>SUM(J313:L313)/SUM(J313:M313)</f>
        <v/>
      </c>
      <c r="P313" s="5">
        <f>MAX(J313:L313)/SUM(J313:L313)</f>
        <v/>
      </c>
    </row>
    <row r="314">
      <c r="A314" t="inlineStr">
        <is>
          <t>Primer año</t>
        </is>
      </c>
      <c r="B314" t="inlineStr">
        <is>
          <t>Tercer periodo</t>
        </is>
      </c>
      <c r="C314" t="n">
        <v>141</v>
      </c>
      <c r="D314" t="n">
        <v>312</v>
      </c>
      <c r="E314" s="3" t="n">
        <v>45904</v>
      </c>
      <c r="F314" t="inlineStr">
        <is>
          <t>Punto de Acuerdo</t>
        </is>
      </c>
      <c r="G314" t="inlineStr">
        <is>
          <t>Acuerdo por el que se exhorta a la Comisión de Derechos Humanos y a la Secretaría de las Mujeres, ambas del estado</t>
        </is>
      </c>
      <c r="H314" t="n">
        <v>20</v>
      </c>
      <c r="I314" t="inlineStr">
        <is>
          <t>Justicia y Estado de Derecho en temas de Mujeres</t>
        </is>
      </c>
      <c r="J314" t="n">
        <v>9</v>
      </c>
      <c r="K314" t="n">
        <v>0</v>
      </c>
      <c r="L314" t="n">
        <v>0</v>
      </c>
      <c r="M314" t="n">
        <v>0</v>
      </c>
      <c r="N314">
        <f>SUM(J314:M314)</f>
        <v/>
      </c>
      <c r="O314" s="4">
        <f>SUM(J314:L314)/SUM(J314:M314)</f>
        <v/>
      </c>
      <c r="P314" s="5">
        <f>MAX(J314:L314)/SUM(J314:L314)</f>
        <v/>
      </c>
    </row>
    <row r="315">
      <c r="A315" t="inlineStr">
        <is>
          <t>Primer año</t>
        </is>
      </c>
      <c r="B315" t="inlineStr">
        <is>
          <t>Tercer periodo</t>
        </is>
      </c>
      <c r="C315" t="n">
        <v>142</v>
      </c>
      <c r="D315" t="n">
        <v>313</v>
      </c>
      <c r="E315" s="3" t="n">
        <v>45904</v>
      </c>
      <c r="F315" t="inlineStr">
        <is>
          <t>Punto de Acuerdo</t>
        </is>
      </c>
      <c r="G315" t="inlineStr">
        <is>
          <t>Acuerdo por el que se exhorta a la Secretaría de Seguridad Pública del estado</t>
        </is>
      </c>
      <c r="H315" t="n">
        <v>3</v>
      </c>
      <c r="I315" t="inlineStr">
        <is>
          <t>Seguridad Pública, Protección Civil y Narcotráfico</t>
        </is>
      </c>
      <c r="J315" t="n">
        <v>9</v>
      </c>
      <c r="K315" t="n">
        <v>0</v>
      </c>
      <c r="L315" t="n">
        <v>0</v>
      </c>
      <c r="M315" t="n">
        <v>0</v>
      </c>
      <c r="N315">
        <f>SUM(J315:M315)</f>
        <v/>
      </c>
      <c r="O315" s="4">
        <f>SUM(J315:L315)/SUM(J315:M315)</f>
        <v/>
      </c>
      <c r="P315" s="5">
        <f>MAX(J315:L315)/SUM(J315:L315)</f>
        <v/>
      </c>
    </row>
    <row r="316">
      <c r="A316" t="inlineStr">
        <is>
          <t>Primer año</t>
        </is>
      </c>
      <c r="B316" t="inlineStr">
        <is>
          <t>Tercer periodo</t>
        </is>
      </c>
      <c r="C316" t="n">
        <v>143</v>
      </c>
      <c r="D316" t="n">
        <v>314</v>
      </c>
      <c r="E316" s="3" t="n">
        <v>45904</v>
      </c>
      <c r="F316" t="inlineStr">
        <is>
          <t>Punto de Acuerdo</t>
        </is>
      </c>
      <c r="G316" t="inlineStr">
        <is>
          <t>Acuerdo por el que se exhorta a los doscientos doce ayuntamientos y cinco concejos municipales del estado</t>
        </is>
      </c>
      <c r="H316" t="n">
        <v>3</v>
      </c>
      <c r="I316" t="inlineStr">
        <is>
          <t>Seguridad Pública, Protección Civil y Narcotráfico</t>
        </is>
      </c>
      <c r="J316" t="n">
        <v>9</v>
      </c>
      <c r="K316" t="n">
        <v>0</v>
      </c>
      <c r="L316" t="n">
        <v>0</v>
      </c>
      <c r="M316" t="n">
        <v>0</v>
      </c>
      <c r="N316">
        <f>SUM(J316:M316)</f>
        <v/>
      </c>
      <c r="O316" s="4">
        <f>SUM(J316:L316)/SUM(J316:M316)</f>
        <v/>
      </c>
      <c r="P316" s="5">
        <f>MAX(J316:L316)/SUM(J316:L316)</f>
        <v/>
      </c>
    </row>
    <row r="317">
      <c r="A317" t="inlineStr">
        <is>
          <t>Primer año</t>
        </is>
      </c>
      <c r="B317" t="inlineStr">
        <is>
          <t>Tercer periodo</t>
        </is>
      </c>
      <c r="C317" t="n">
        <v>144</v>
      </c>
      <c r="D317" t="n">
        <v>315</v>
      </c>
      <c r="E317" s="3" t="n">
        <v>45904</v>
      </c>
      <c r="F317" t="inlineStr">
        <is>
          <t>Punto de Acuerdo</t>
        </is>
      </c>
      <c r="G317" t="inlineStr">
        <is>
          <t>Acuerdo por el que se exhorta a la Secretaría de Seguridad Pública del estado</t>
        </is>
      </c>
      <c r="H317" t="n">
        <v>3</v>
      </c>
      <c r="I317" t="inlineStr">
        <is>
          <t>Seguridad Pública, Protección Civil y Narcotráfico</t>
        </is>
      </c>
      <c r="J317" t="n">
        <v>9</v>
      </c>
      <c r="K317" t="n">
        <v>0</v>
      </c>
      <c r="L317" t="n">
        <v>0</v>
      </c>
      <c r="M317" t="n">
        <v>0</v>
      </c>
      <c r="N317">
        <f>SUM(J317:M317)</f>
        <v/>
      </c>
      <c r="O317" s="4">
        <f>SUM(J317:L317)/SUM(J317:M317)</f>
        <v/>
      </c>
      <c r="P317" s="5">
        <f>MAX(J317:L317)/SUM(J317:L317)</f>
        <v/>
      </c>
    </row>
    <row r="318">
      <c r="A318" t="inlineStr">
        <is>
          <t>Primer año</t>
        </is>
      </c>
      <c r="B318" t="inlineStr">
        <is>
          <t>Tercer periodo</t>
        </is>
      </c>
      <c r="C318" t="n">
        <v>145</v>
      </c>
      <c r="D318" t="n">
        <v>316</v>
      </c>
      <c r="E318" s="3" t="n">
        <v>45904</v>
      </c>
      <c r="F318" t="inlineStr">
        <is>
          <t>Punto de Acuerdo</t>
        </is>
      </c>
      <c r="G318" t="inlineStr">
        <is>
          <t>Acuerdo por el que se exhorta a la Secretaría de Seguridad Pública del estado de Puebla</t>
        </is>
      </c>
      <c r="H318" t="n">
        <v>3</v>
      </c>
      <c r="I318" t="inlineStr">
        <is>
          <t>Seguridad Pública, Protección Civil y Narcotráfico</t>
        </is>
      </c>
      <c r="J318" t="n">
        <v>9</v>
      </c>
      <c r="K318" t="n">
        <v>0</v>
      </c>
      <c r="L318" t="n">
        <v>0</v>
      </c>
      <c r="M318" t="n">
        <v>0</v>
      </c>
      <c r="N318">
        <f>SUM(J318:M318)</f>
        <v/>
      </c>
      <c r="O318" s="4">
        <f>SUM(J318:L318)/SUM(J318:M318)</f>
        <v/>
      </c>
      <c r="P318" s="5">
        <f>MAX(J318:L318)/SUM(J318:L318)</f>
        <v/>
      </c>
    </row>
    <row r="319">
      <c r="A319" t="inlineStr">
        <is>
          <t>Primer año</t>
        </is>
      </c>
      <c r="B319" t="inlineStr">
        <is>
          <t>Tercer periodo</t>
        </is>
      </c>
      <c r="C319" t="n">
        <v>146</v>
      </c>
      <c r="D319" t="n">
        <v>317</v>
      </c>
      <c r="E319" s="3" t="n">
        <v>45904</v>
      </c>
      <c r="F319" t="inlineStr">
        <is>
          <t>Punto de Acuerdo</t>
        </is>
      </c>
      <c r="G319" t="inlineStr">
        <is>
          <t>Acuerdo por el que se exhorta a la Secretaría de Infraestructura del estado</t>
        </is>
      </c>
      <c r="H319" t="n">
        <v>11</v>
      </c>
      <c r="I319" t="inlineStr">
        <is>
          <t>Infraestructura, Movilidad y Transporte</t>
        </is>
      </c>
      <c r="J319" t="n">
        <v>9</v>
      </c>
      <c r="K319" t="n">
        <v>0</v>
      </c>
      <c r="L319" t="n">
        <v>0</v>
      </c>
      <c r="M319" t="n">
        <v>0</v>
      </c>
      <c r="N319">
        <f>SUM(J319:M319)</f>
        <v/>
      </c>
      <c r="O319" s="4">
        <f>SUM(J319:L319)/SUM(J319:M319)</f>
        <v/>
      </c>
      <c r="P319" s="5">
        <f>MAX(J319:L319)/SUM(J319:L319)</f>
        <v/>
      </c>
    </row>
    <row r="320">
      <c r="A320" t="inlineStr">
        <is>
          <t>Primer año</t>
        </is>
      </c>
      <c r="B320" t="inlineStr">
        <is>
          <t>Tercer periodo</t>
        </is>
      </c>
      <c r="C320" t="n">
        <v>147</v>
      </c>
      <c r="D320" t="n">
        <v>318</v>
      </c>
      <c r="E320" s="3" t="n">
        <v>45904</v>
      </c>
      <c r="F320" t="inlineStr">
        <is>
          <t>Punto de Acuerdo</t>
        </is>
      </c>
      <c r="G320" t="inlineStr">
        <is>
          <t>Acuerdo por el que se exhorta a los doscientos doce ayuntamientos y cinco concejos municipales del estado</t>
        </is>
      </c>
      <c r="H320" t="n">
        <v>5</v>
      </c>
      <c r="I320" t="inlineStr">
        <is>
          <t>Medio Ambiente</t>
        </is>
      </c>
      <c r="J320" t="n">
        <v>9</v>
      </c>
      <c r="K320" t="n">
        <v>0</v>
      </c>
      <c r="L320" t="n">
        <v>0</v>
      </c>
      <c r="M320" t="n">
        <v>0</v>
      </c>
      <c r="N320">
        <f>SUM(J320:M320)</f>
        <v/>
      </c>
      <c r="O320" s="4">
        <f>SUM(J320:L320)/SUM(J320:M320)</f>
        <v/>
      </c>
      <c r="P320" s="5">
        <f>MAX(J320:L320)/SUM(J320:L320)</f>
        <v/>
      </c>
    </row>
    <row r="321">
      <c r="A321" t="inlineStr">
        <is>
          <t>Primer año</t>
        </is>
      </c>
      <c r="B321" t="inlineStr">
        <is>
          <t>Tercer periodo</t>
        </is>
      </c>
      <c r="C321" t="n">
        <v>148</v>
      </c>
      <c r="D321" t="n">
        <v>319</v>
      </c>
      <c r="E321" s="3" t="n">
        <v>45904</v>
      </c>
      <c r="F321" t="inlineStr">
        <is>
          <t>Punto de Acuerdo</t>
        </is>
      </c>
      <c r="G321" t="inlineStr">
        <is>
          <t>Acuerdo por el que se exhorta al Instituto Especializado de la Defensoría Pública del estado de Puebla</t>
        </is>
      </c>
      <c r="H321" t="n">
        <v>20</v>
      </c>
      <c r="I321" t="inlineStr">
        <is>
          <t>Justicia y Estado de Derecho en temas de Mujeres</t>
        </is>
      </c>
      <c r="J321" t="n">
        <v>9</v>
      </c>
      <c r="K321" t="n">
        <v>0</v>
      </c>
      <c r="L321" t="n">
        <v>0</v>
      </c>
      <c r="M321" t="n">
        <v>0</v>
      </c>
      <c r="N321">
        <f>SUM(J321:M321)</f>
        <v/>
      </c>
      <c r="O321" s="4">
        <f>SUM(J321:L321)/SUM(J321:M321)</f>
        <v/>
      </c>
      <c r="P321" s="5">
        <f>MAX(J321:L321)/SUM(J321:L321)</f>
        <v/>
      </c>
    </row>
    <row r="322">
      <c r="A322" t="inlineStr">
        <is>
          <t>Primer año</t>
        </is>
      </c>
      <c r="B322" t="inlineStr">
        <is>
          <t>Tercer periodo</t>
        </is>
      </c>
      <c r="C322" t="n">
        <v>149</v>
      </c>
      <c r="D322" t="n">
        <v>320</v>
      </c>
      <c r="E322" s="3" t="n">
        <v>45904</v>
      </c>
      <c r="F322" t="inlineStr">
        <is>
          <t>Punto de Acuerdo</t>
        </is>
      </c>
      <c r="G322" t="inlineStr">
        <is>
          <t>Acuerdo por el que se exhorta a la Fiscalía General del estado de Puebla</t>
        </is>
      </c>
      <c r="H322" t="n">
        <v>14</v>
      </c>
      <c r="I322" t="inlineStr">
        <is>
          <t>Justicia y Estado de Derecho</t>
        </is>
      </c>
      <c r="J322" t="n">
        <v>9</v>
      </c>
      <c r="K322" t="n">
        <v>0</v>
      </c>
      <c r="L322" t="n">
        <v>0</v>
      </c>
      <c r="M322" t="n">
        <v>0</v>
      </c>
      <c r="N322">
        <f>SUM(J322:M322)</f>
        <v/>
      </c>
      <c r="O322" s="4">
        <f>SUM(J322:L322)/SUM(J322:M322)</f>
        <v/>
      </c>
      <c r="P322" s="5">
        <f>MAX(J322:L322)/SUM(J322:L322)</f>
        <v/>
      </c>
    </row>
    <row r="323">
      <c r="A323" t="inlineStr">
        <is>
          <t>Primer año</t>
        </is>
      </c>
      <c r="B323" t="inlineStr">
        <is>
          <t>Tercer periodo</t>
        </is>
      </c>
      <c r="C323" t="n">
        <v>150</v>
      </c>
      <c r="D323" t="n">
        <v>321</v>
      </c>
      <c r="E323" s="3" t="n">
        <v>45904</v>
      </c>
      <c r="F323" t="inlineStr">
        <is>
          <t>Punto de Acuerdo</t>
        </is>
      </c>
      <c r="G323" t="inlineStr">
        <is>
          <t>Acuerdo por el que se exhorta a la Fiscalía General del estado de Puebla</t>
        </is>
      </c>
      <c r="H323" t="n">
        <v>14</v>
      </c>
      <c r="I323" t="inlineStr">
        <is>
          <t>Justicia y Estado de Derecho</t>
        </is>
      </c>
      <c r="J323" t="n">
        <v>9</v>
      </c>
      <c r="K323" t="n">
        <v>0</v>
      </c>
      <c r="L323" t="n">
        <v>0</v>
      </c>
      <c r="M323" t="n">
        <v>0</v>
      </c>
      <c r="N323">
        <f>SUM(J323:M323)</f>
        <v/>
      </c>
      <c r="O323" s="4">
        <f>SUM(J323:L323)/SUM(J323:M323)</f>
        <v/>
      </c>
      <c r="P323" s="5">
        <f>MAX(J323:L323)/SUM(J323:L323)</f>
        <v/>
      </c>
    </row>
    <row r="324">
      <c r="A324" t="inlineStr">
        <is>
          <t>Primer año</t>
        </is>
      </c>
      <c r="B324" t="inlineStr">
        <is>
          <t>Tercer periodo</t>
        </is>
      </c>
      <c r="C324" t="n">
        <v>151</v>
      </c>
      <c r="D324" t="n">
        <v>322</v>
      </c>
      <c r="E324" s="3" t="n">
        <v>45910</v>
      </c>
      <c r="F324" t="inlineStr">
        <is>
          <t>Punto de Acuerdo</t>
        </is>
      </c>
      <c r="G324" t="inlineStr">
        <is>
          <t>Acuerdo por el cual la sesión extraordinaria</t>
        </is>
      </c>
      <c r="H324" t="n">
        <v>19</v>
      </c>
      <c r="I324" t="inlineStr">
        <is>
          <t>Internos del Congreso</t>
        </is>
      </c>
      <c r="J324" t="n">
        <v>8</v>
      </c>
      <c r="K324" t="n">
        <v>0</v>
      </c>
      <c r="L324" t="n">
        <v>0</v>
      </c>
      <c r="M324" t="n">
        <v>33</v>
      </c>
      <c r="N324">
        <f>SUM(J324:M324)</f>
        <v/>
      </c>
      <c r="O324" s="4">
        <f>SUM(J324:L324)/SUM(J324:M324)</f>
        <v/>
      </c>
      <c r="P324" s="5">
        <f>MAX(J324:L324)/SUM(J324:L324)</f>
        <v/>
      </c>
    </row>
    <row r="325">
      <c r="A325" t="inlineStr">
        <is>
          <t>Primer año</t>
        </is>
      </c>
      <c r="B325" t="inlineStr">
        <is>
          <t>Tercer periodo</t>
        </is>
      </c>
      <c r="C325" t="n">
        <v>152</v>
      </c>
      <c r="D325" t="n">
        <v>323</v>
      </c>
      <c r="E325" s="3" t="n">
        <v>45910</v>
      </c>
      <c r="F325" t="inlineStr">
        <is>
          <t>Punto de Acuerdo</t>
        </is>
      </c>
      <c r="G325" t="inlineStr">
        <is>
          <t>Acuerdo por el que se exhorta al ayuntamiento de para que diseñe, implemente o gestione programas de apoyo para el sector agrícola</t>
        </is>
      </c>
      <c r="H325" t="n">
        <v>12</v>
      </c>
      <c r="I325" t="inlineStr">
        <is>
          <t>Agricultura, Ganadería y Pesca</t>
        </is>
      </c>
      <c r="J325" t="n">
        <v>8</v>
      </c>
      <c r="K325" t="n">
        <v>0</v>
      </c>
      <c r="L325" t="n">
        <v>0</v>
      </c>
      <c r="M325" t="n">
        <v>33</v>
      </c>
      <c r="N325">
        <f>SUM(J325:M325)</f>
        <v/>
      </c>
      <c r="O325" s="4">
        <f>SUM(J325:L325)/SUM(J325:M325)</f>
        <v/>
      </c>
      <c r="P325" s="5">
        <f>MAX(J325:L325)/SUM(J325:L325)</f>
        <v/>
      </c>
    </row>
    <row r="326">
      <c r="A326" t="inlineStr">
        <is>
          <t>Primer año</t>
        </is>
      </c>
      <c r="B326" t="inlineStr">
        <is>
          <t>Tercer periodo</t>
        </is>
      </c>
      <c r="C326" t="n">
        <v>153</v>
      </c>
      <c r="D326" t="n">
        <v>324</v>
      </c>
      <c r="E326" s="3" t="n">
        <v>45911</v>
      </c>
      <c r="F326" t="inlineStr">
        <is>
          <t>Punto de Acuerdo</t>
        </is>
      </c>
      <c r="G326" t="inlineStr">
        <is>
          <t>Acuerdo para la elección e integración de la primera mesa directiva del segundo año de ejercicio legal</t>
        </is>
      </c>
      <c r="H326" t="n">
        <v>19</v>
      </c>
      <c r="I326" t="inlineStr">
        <is>
          <t>Internos del Congreso</t>
        </is>
      </c>
      <c r="J326" t="n">
        <v>33</v>
      </c>
      <c r="K326" t="n">
        <v>0</v>
      </c>
      <c r="L326" t="n">
        <v>1</v>
      </c>
      <c r="M326" t="n">
        <v>7</v>
      </c>
      <c r="N326">
        <f>SUM(J326:M326)</f>
        <v/>
      </c>
      <c r="O326" s="4">
        <f>SUM(J326:L326)/SUM(J326:M326)</f>
        <v/>
      </c>
      <c r="P326" s="5">
        <f>MAX(J326:L326)/SUM(J326:L326)</f>
        <v/>
      </c>
    </row>
    <row r="327">
      <c r="A327" t="inlineStr">
        <is>
          <t>Primer año</t>
        </is>
      </c>
      <c r="B327" t="inlineStr">
        <is>
          <t>Tercer periodo</t>
        </is>
      </c>
      <c r="C327" t="n">
        <v>154</v>
      </c>
      <c r="D327" t="n">
        <v>325</v>
      </c>
      <c r="E327" s="3" t="n">
        <v>45911</v>
      </c>
      <c r="F327" t="inlineStr">
        <is>
          <t>Punto de Acuerdo</t>
        </is>
      </c>
      <c r="G327" t="inlineStr">
        <is>
          <t>Acuerdo por el cual se elige a la primera mesa directiva del segundo año de ejercicio legal</t>
        </is>
      </c>
      <c r="H327" t="n">
        <v>19</v>
      </c>
      <c r="I327" t="inlineStr">
        <is>
          <t>Internos del Congreso</t>
        </is>
      </c>
      <c r="J327" t="n">
        <v>32</v>
      </c>
      <c r="K327" t="n">
        <v>0</v>
      </c>
      <c r="L327" t="n">
        <v>2</v>
      </c>
      <c r="M327" t="n">
        <v>7</v>
      </c>
      <c r="N327">
        <f>SUM(J327:M327)</f>
        <v/>
      </c>
      <c r="O327" s="4">
        <f>SUM(J327:L327)/SUM(J327:M327)</f>
        <v/>
      </c>
      <c r="P327" s="5">
        <f>MAX(J327:L327)/SUM(J327:L327)</f>
        <v/>
      </c>
    </row>
    <row r="328">
      <c r="A328" t="inlineStr">
        <is>
          <t>Segundo año</t>
        </is>
      </c>
      <c r="B328" t="inlineStr">
        <is>
          <t>Primer periodo</t>
        </is>
      </c>
      <c r="C328" t="n">
        <v>1</v>
      </c>
      <c r="D328" t="n">
        <v>326</v>
      </c>
      <c r="E328" s="3" t="n">
        <v>45915</v>
      </c>
      <c r="F328" t="inlineStr">
        <is>
          <t>Iniciativa</t>
        </is>
      </c>
      <c r="G328" t="inlineStr">
        <is>
          <t>Dictamen con minuta de decreto por el cual se reforman diversas disposiciones de la Ley Orgánica del Poder Legislativo del Estado Libre y Soberano de y del Reglamento Interior del Honorable Congreso del Estado Libre y Soberano de</t>
        </is>
      </c>
      <c r="H328" t="n">
        <v>19</v>
      </c>
      <c r="I328" t="inlineStr">
        <is>
          <t>Internos del Congreso</t>
        </is>
      </c>
      <c r="J328" t="n">
        <v>39</v>
      </c>
      <c r="K328" t="n">
        <v>0</v>
      </c>
      <c r="L328" t="n">
        <v>0</v>
      </c>
      <c r="M328" t="n">
        <v>2</v>
      </c>
      <c r="N328">
        <f>SUM(J328:M328)</f>
        <v/>
      </c>
      <c r="O328" s="4">
        <f>SUM(J328:L328)/SUM(J328:M328)</f>
        <v/>
      </c>
      <c r="P328" s="5">
        <f>MAX(J328:L328)/SUM(J328:L328)</f>
        <v/>
      </c>
    </row>
    <row r="329">
      <c r="A329" t="inlineStr">
        <is>
          <t>Segundo año</t>
        </is>
      </c>
      <c r="B329" t="inlineStr">
        <is>
          <t>Primer periodo</t>
        </is>
      </c>
      <c r="C329" t="n">
        <v>2</v>
      </c>
      <c r="D329" t="n">
        <v>327</v>
      </c>
      <c r="E329" s="3" t="n">
        <v>45915</v>
      </c>
      <c r="F329" t="inlineStr">
        <is>
          <t>Iniciativa</t>
        </is>
      </c>
      <c r="G329" t="inlineStr">
        <is>
          <t>Dictamen con minuta de decreto por el cual se reforma el artículo 90 de la Ley de Transporte del Estado de</t>
        </is>
      </c>
      <c r="H329" t="n">
        <v>11</v>
      </c>
      <c r="I329" t="inlineStr">
        <is>
          <t>Infraestructura, Movilidad y Transporte</t>
        </is>
      </c>
      <c r="J329" t="n">
        <v>39</v>
      </c>
      <c r="K329" t="n">
        <v>0</v>
      </c>
      <c r="L329" t="n">
        <v>0</v>
      </c>
      <c r="M329" t="n">
        <v>2</v>
      </c>
      <c r="N329">
        <f>SUM(J329:M329)</f>
        <v/>
      </c>
      <c r="O329" s="4">
        <f>SUM(J329:L329)/SUM(J329:M329)</f>
        <v/>
      </c>
      <c r="P329" s="5">
        <f>MAX(J329:L329)/SUM(J329:L329)</f>
        <v/>
      </c>
    </row>
    <row r="330">
      <c r="A330" t="inlineStr">
        <is>
          <t>Segundo año</t>
        </is>
      </c>
      <c r="B330" t="inlineStr">
        <is>
          <t>Primer periodo</t>
        </is>
      </c>
      <c r="C330" t="n">
        <v>3</v>
      </c>
      <c r="D330" t="n">
        <v>328</v>
      </c>
      <c r="E330" s="3" t="n">
        <v>45915</v>
      </c>
      <c r="F330" t="inlineStr">
        <is>
          <t>Iniciativa</t>
        </is>
      </c>
      <c r="G330" t="inlineStr">
        <is>
          <t>Dictamen con minuta de decreto por el cual se reforma la fracción I del artículo 2, la fracción I del apartado A del artículo 4 y el primer párrafo del artículo 8 de la Ley Estatal de Salud</t>
        </is>
      </c>
      <c r="H330" t="n">
        <v>6</v>
      </c>
      <c r="I330" t="inlineStr">
        <is>
          <t>Salud</t>
        </is>
      </c>
      <c r="J330" t="n">
        <v>37</v>
      </c>
      <c r="K330" t="n">
        <v>0</v>
      </c>
      <c r="L330" t="n">
        <v>2</v>
      </c>
      <c r="M330" t="n">
        <v>2</v>
      </c>
      <c r="N330">
        <f>SUM(J330:M330)</f>
        <v/>
      </c>
      <c r="O330" s="4">
        <f>SUM(J330:L330)/SUM(J330:M330)</f>
        <v/>
      </c>
      <c r="P330" s="5">
        <f>MAX(J330:L330)/SUM(J330:L330)</f>
        <v/>
      </c>
    </row>
    <row r="331">
      <c r="A331" t="inlineStr">
        <is>
          <t>Segundo año</t>
        </is>
      </c>
      <c r="B331" t="inlineStr">
        <is>
          <t>Primer periodo</t>
        </is>
      </c>
      <c r="C331" t="n">
        <v>4</v>
      </c>
      <c r="D331" t="n">
        <v>329</v>
      </c>
      <c r="E331" s="3" t="n">
        <v>45915</v>
      </c>
      <c r="F331" t="inlineStr">
        <is>
          <t>Iniciativa</t>
        </is>
      </c>
      <c r="G331" t="inlineStr">
        <is>
          <t>Dictamen con minuta de decreto por el cual se adiciona el artículo 157 bis a la Ley Estatal de Salud</t>
        </is>
      </c>
      <c r="H331" t="n">
        <v>6</v>
      </c>
      <c r="I331" t="inlineStr">
        <is>
          <t>Salud</t>
        </is>
      </c>
      <c r="J331" t="n">
        <v>39</v>
      </c>
      <c r="K331" t="n">
        <v>0</v>
      </c>
      <c r="L331" t="n">
        <v>0</v>
      </c>
      <c r="M331" t="n">
        <v>2</v>
      </c>
      <c r="N331">
        <f>SUM(J331:M331)</f>
        <v/>
      </c>
      <c r="O331" s="4">
        <f>SUM(J331:L331)/SUM(J331:M331)</f>
        <v/>
      </c>
      <c r="P331" s="5">
        <f>MAX(J331:L331)/SUM(J331:L331)</f>
        <v/>
      </c>
    </row>
    <row r="332">
      <c r="A332" t="inlineStr">
        <is>
          <t>Segundo año</t>
        </is>
      </c>
      <c r="B332" t="inlineStr">
        <is>
          <t>Primer periodo</t>
        </is>
      </c>
      <c r="C332" t="n">
        <v>5</v>
      </c>
      <c r="D332" t="n">
        <v>330</v>
      </c>
      <c r="E332" s="3" t="n">
        <v>45915</v>
      </c>
      <c r="F332" t="inlineStr">
        <is>
          <t>Iniciativa</t>
        </is>
      </c>
      <c r="G332" t="inlineStr">
        <is>
          <t>Dictamen con minuta de decreto por el cual se reforman y adicionan diversas disposiciones de la Ley Estatal de Salud; y de la Ley para Prevenir y Eliminar la Discriminación del Estado Libre y Soberano de</t>
        </is>
      </c>
      <c r="H332" t="n">
        <v>6</v>
      </c>
      <c r="I332" t="inlineStr">
        <is>
          <t>Salud</t>
        </is>
      </c>
      <c r="J332" t="n">
        <v>39</v>
      </c>
      <c r="K332" t="n">
        <v>0</v>
      </c>
      <c r="L332" t="n">
        <v>0</v>
      </c>
      <c r="M332" t="n">
        <v>2</v>
      </c>
      <c r="N332">
        <f>SUM(J332:M332)</f>
        <v/>
      </c>
      <c r="O332" s="4">
        <f>SUM(J332:L332)/SUM(J332:M332)</f>
        <v/>
      </c>
      <c r="P332" s="5">
        <f>MAX(J332:L332)/SUM(J332:L332)</f>
        <v/>
      </c>
    </row>
    <row r="333">
      <c r="A333" t="inlineStr">
        <is>
          <t>Segundo año</t>
        </is>
      </c>
      <c r="B333" t="inlineStr">
        <is>
          <t>Primer periodo</t>
        </is>
      </c>
      <c r="C333" t="n">
        <v>6</v>
      </c>
      <c r="D333" t="n">
        <v>331</v>
      </c>
      <c r="E333" s="3" t="n">
        <v>45915</v>
      </c>
      <c r="F333" t="inlineStr">
        <is>
          <t>Iniciativa</t>
        </is>
      </c>
      <c r="G333" t="inlineStr">
        <is>
          <t>Dictamen con minuta de decreto por el cual se reforman las fracciones III, IV, VI, VII, VIII y IX del artículo 96 y el 98 bis; y se adicionan las fracciones X y XI al artículo 96 de la Ley Orgánica Municipal</t>
        </is>
      </c>
      <c r="H333" t="n">
        <v>18</v>
      </c>
      <c r="I333" t="inlineStr">
        <is>
          <t>Administración Pública</t>
        </is>
      </c>
      <c r="J333" t="n">
        <v>39</v>
      </c>
      <c r="K333" t="n">
        <v>0</v>
      </c>
      <c r="L333" t="n">
        <v>0</v>
      </c>
      <c r="M333" t="n">
        <v>2</v>
      </c>
      <c r="N333">
        <f>SUM(J333:M333)</f>
        <v/>
      </c>
      <c r="O333" s="4">
        <f>SUM(J333:L333)/SUM(J333:M333)</f>
        <v/>
      </c>
      <c r="P333" s="5">
        <f>MAX(J333:L333)/SUM(J333:L333)</f>
        <v/>
      </c>
    </row>
    <row r="334">
      <c r="A334" t="inlineStr">
        <is>
          <t>Segundo año</t>
        </is>
      </c>
      <c r="B334" t="inlineStr">
        <is>
          <t>Primer periodo</t>
        </is>
      </c>
      <c r="C334" t="n">
        <v>7</v>
      </c>
      <c r="D334" t="n">
        <v>332</v>
      </c>
      <c r="E334" s="3" t="n">
        <v>45915</v>
      </c>
      <c r="F334" t="inlineStr">
        <is>
          <t>Iniciativa</t>
        </is>
      </c>
      <c r="G334" t="inlineStr">
        <is>
          <t>Dictamen con minuta de decreto por el cual se reforman las fracciones XLII y XLIII del artículo 16, el artículo 110, el inciso a) de la fracción I del 130, y la fracción II del 132; y se adicionan la fracción XXIV bis al artículo 3 y la XLIV al 16 de la Ley de Ordenamiento Territorial y Desarrollo Urbano del Estado de</t>
        </is>
      </c>
      <c r="H334" t="n">
        <v>11</v>
      </c>
      <c r="I334" t="inlineStr">
        <is>
          <t>Infraestructura, Movilidad y Transporte</t>
        </is>
      </c>
      <c r="J334" t="n">
        <v>39</v>
      </c>
      <c r="K334" t="n">
        <v>0</v>
      </c>
      <c r="L334" t="n">
        <v>0</v>
      </c>
      <c r="M334" t="n">
        <v>2</v>
      </c>
      <c r="N334">
        <f>SUM(J334:M334)</f>
        <v/>
      </c>
      <c r="O334" s="4">
        <f>SUM(J334:L334)/SUM(J334:M334)</f>
        <v/>
      </c>
      <c r="P334" s="5">
        <f>MAX(J334:L334)/SUM(J334:L334)</f>
        <v/>
      </c>
    </row>
    <row r="335">
      <c r="A335" t="inlineStr">
        <is>
          <t>Segundo año</t>
        </is>
      </c>
      <c r="B335" t="inlineStr">
        <is>
          <t>Primer periodo</t>
        </is>
      </c>
      <c r="C335" t="n">
        <v>8</v>
      </c>
      <c r="D335" t="n">
        <v>333</v>
      </c>
      <c r="E335" s="3" t="n">
        <v>45915</v>
      </c>
      <c r="F335" t="inlineStr">
        <is>
          <t>Iniciativa</t>
        </is>
      </c>
      <c r="G335" t="inlineStr">
        <is>
          <t>Dictamen con minuta de decreto por el cual se reforman las fracciones IX y X y se adiciona la fracción XI al artículo 4 de la Ley de Ordenamiento Territorial y Desarrollo Urbano del Estado de</t>
        </is>
      </c>
      <c r="H335" t="n">
        <v>11</v>
      </c>
      <c r="I335" t="inlineStr">
        <is>
          <t>Infraestructura, Movilidad y Transporte</t>
        </is>
      </c>
      <c r="J335" t="n">
        <v>39</v>
      </c>
      <c r="K335" t="n">
        <v>0</v>
      </c>
      <c r="L335" t="n">
        <v>0</v>
      </c>
      <c r="M335" t="n">
        <v>2</v>
      </c>
      <c r="N335">
        <f>SUM(J335:M335)</f>
        <v/>
      </c>
      <c r="O335" s="4">
        <f>SUM(J335:L335)/SUM(J335:M335)</f>
        <v/>
      </c>
      <c r="P335" s="5">
        <f>MAX(J335:L335)/SUM(J335:L335)</f>
        <v/>
      </c>
    </row>
    <row r="336">
      <c r="A336" t="inlineStr">
        <is>
          <t>Segundo año</t>
        </is>
      </c>
      <c r="B336" t="inlineStr">
        <is>
          <t>Primer periodo</t>
        </is>
      </c>
      <c r="C336" t="n">
        <v>9</v>
      </c>
      <c r="D336" t="n">
        <v>334</v>
      </c>
      <c r="E336" s="3" t="n">
        <v>45915</v>
      </c>
      <c r="F336" t="inlineStr">
        <is>
          <t>Punto de Acuerdo</t>
        </is>
      </c>
      <c r="G336" t="inlineStr">
        <is>
          <t>Acuerdo por el que se exhorta a la Secretaría de Movilidad y Transporte y a los doscientos doce ayuntamientos y cinco concejos municipales del estado, para que en el ámbito de su competencia y de manera coordinada promuevan la colocación y mantenimiento progresivo de semáforos auditivos peatonales, señalización visual y háptica, y elementos de infraestructura urbana y peatonal accesibles, priorizando su colocación en espacios con alta afluencia peatonal; así como para que impulsen las capacitaciones y modificaciones reglamentarias necesarias a fin de garantizar la accesibilidad y seguridad vial en sus demarcaciones</t>
        </is>
      </c>
      <c r="H336" t="n">
        <v>11</v>
      </c>
      <c r="I336" t="inlineStr">
        <is>
          <t>Infraestructura, Movilidad y Transporte</t>
        </is>
      </c>
      <c r="J336" t="n">
        <v>39</v>
      </c>
      <c r="K336" t="n">
        <v>0</v>
      </c>
      <c r="L336" t="n">
        <v>0</v>
      </c>
      <c r="M336" t="n">
        <v>2</v>
      </c>
      <c r="N336">
        <f>SUM(J336:M336)</f>
        <v/>
      </c>
      <c r="O336" s="4">
        <f>SUM(J336:L336)/SUM(J336:M336)</f>
        <v/>
      </c>
      <c r="P336" s="5">
        <f>MAX(J336:L336)/SUM(J336:L336)</f>
        <v/>
      </c>
    </row>
    <row r="337">
      <c r="A337" t="inlineStr">
        <is>
          <t>Segundo año</t>
        </is>
      </c>
      <c r="B337" t="inlineStr">
        <is>
          <t>Primer periodo</t>
        </is>
      </c>
      <c r="C337" t="n">
        <v>10</v>
      </c>
      <c r="D337" t="n">
        <v>335</v>
      </c>
      <c r="E337" s="3" t="n">
        <v>45915</v>
      </c>
      <c r="F337" t="inlineStr">
        <is>
          <t>Punto de Acuerdo</t>
        </is>
      </c>
      <c r="G337" t="inlineStr">
        <is>
          <t>Acuerdo por el que se exhorta a las secretarías de salud y de educación pública, ambas del estado para que, en coordinación con los doscientos doce ayuntamientos y cinco concejos municipales, implementen campañas informativas sobre los riesgos del tabaquismo y vapeo, con especial énfasis en niñas, niños, adolescentes y jóvenes</t>
        </is>
      </c>
      <c r="H337" t="n">
        <v>6</v>
      </c>
      <c r="I337" t="inlineStr">
        <is>
          <t>Salud</t>
        </is>
      </c>
      <c r="J337" t="n">
        <v>39</v>
      </c>
      <c r="K337" t="n">
        <v>0</v>
      </c>
      <c r="L337" t="n">
        <v>0</v>
      </c>
      <c r="M337" t="n">
        <v>2</v>
      </c>
      <c r="N337">
        <f>SUM(J337:M337)</f>
        <v/>
      </c>
      <c r="O337" s="4">
        <f>SUM(J337:L337)/SUM(J337:M337)</f>
        <v/>
      </c>
      <c r="P337" s="5">
        <f>MAX(J337:L337)/SUM(J337:L337)</f>
        <v/>
      </c>
    </row>
    <row r="338">
      <c r="A338" t="inlineStr">
        <is>
          <t>Segundo año</t>
        </is>
      </c>
      <c r="B338" t="inlineStr">
        <is>
          <t>Primer periodo</t>
        </is>
      </c>
      <c r="C338" t="n">
        <v>11</v>
      </c>
      <c r="D338" t="n">
        <v>336</v>
      </c>
      <c r="E338" s="3" t="n">
        <v>45915</v>
      </c>
      <c r="F338" t="inlineStr">
        <is>
          <t>Punto de Acuerdo</t>
        </is>
      </c>
      <c r="G338" t="inlineStr">
        <is>
          <t>Acuerdo por el que se exhorta a los doscientos doce ayuntamientos y cinco concejos municipales del estado para que, en coordinación con las jurisdicciones sanitarias respectivas, realicen acciones de concientización y prevención del dengue, así como descacharrización y fumigación, a fin de erradicar el mosco transmisor del dengue y evitar que existan problemas de salud en la entidad</t>
        </is>
      </c>
      <c r="H338" t="n">
        <v>6</v>
      </c>
      <c r="I338" t="inlineStr">
        <is>
          <t>Salud</t>
        </is>
      </c>
      <c r="J338" t="n">
        <v>39</v>
      </c>
      <c r="K338" t="n">
        <v>0</v>
      </c>
      <c r="L338" t="n">
        <v>0</v>
      </c>
      <c r="M338" t="n">
        <v>2</v>
      </c>
      <c r="N338">
        <f>SUM(J338:M338)</f>
        <v/>
      </c>
      <c r="O338" s="4">
        <f>SUM(J338:L338)/SUM(J338:M338)</f>
        <v/>
      </c>
      <c r="P338" s="5">
        <f>MAX(J338:L338)/SUM(J338:L338)</f>
        <v/>
      </c>
    </row>
    <row r="339">
      <c r="A339" t="inlineStr">
        <is>
          <t>Segundo año</t>
        </is>
      </c>
      <c r="B339" t="inlineStr">
        <is>
          <t>Primer periodo</t>
        </is>
      </c>
      <c r="C339" t="n">
        <v>12</v>
      </c>
      <c r="D339" t="n">
        <v>337</v>
      </c>
      <c r="E339" s="3" t="n">
        <v>45915</v>
      </c>
      <c r="F339" t="inlineStr">
        <is>
          <t>Punto de Acuerdo</t>
        </is>
      </c>
      <c r="G339" t="inlineStr">
        <is>
          <t>Acuerdo por el que se exhorta a la secretaría de salud del estado para que implemente en los hospitales públicos de la entidad que otorgan atención materno-infantil, el protocolo denominado “Código Mariposa”, así como capacitaciones al personal médico, auxiliar y técnico de salud, con el fin de garantizar una atención respetuosa y humanizada a mujeres y familias que enfrenten la pérdida del producto de la concepción durante la gestación, parto o en el periodo neonatal</t>
        </is>
      </c>
      <c r="H339" t="n">
        <v>6</v>
      </c>
      <c r="I339" t="inlineStr">
        <is>
          <t>Salud</t>
        </is>
      </c>
      <c r="J339" t="n">
        <v>39</v>
      </c>
      <c r="K339" t="n">
        <v>0</v>
      </c>
      <c r="L339" t="n">
        <v>0</v>
      </c>
      <c r="M339" t="n">
        <v>2</v>
      </c>
      <c r="N339">
        <f>SUM(J339:M339)</f>
        <v/>
      </c>
      <c r="O339" s="4">
        <f>SUM(J339:L339)/SUM(J339:M339)</f>
        <v/>
      </c>
      <c r="P339" s="5">
        <f>MAX(J339:L339)/SUM(J339:L339)</f>
        <v/>
      </c>
    </row>
    <row r="340">
      <c r="A340" t="inlineStr">
        <is>
          <t>Segundo año</t>
        </is>
      </c>
      <c r="B340" t="inlineStr">
        <is>
          <t>Primer periodo</t>
        </is>
      </c>
      <c r="C340" t="n">
        <v>13</v>
      </c>
      <c r="D340" t="n">
        <v>338</v>
      </c>
      <c r="E340" s="3" t="n">
        <v>45915</v>
      </c>
      <c r="F340" t="inlineStr">
        <is>
          <t>Punto de Acuerdo</t>
        </is>
      </c>
      <c r="G340" t="inlineStr">
        <is>
          <t>Acuerdo por el que se exhorta a los doscientos doce ayuntamientos y a los cinco concejos municipales del estado, para que prioricen la contratación de empresas que garanticen el uso de mano de obra local, con el objeto de contribuir a la generación de empleos y al impulso del desarrollo económico y social municipal, regional y estatal</t>
        </is>
      </c>
      <c r="H340" t="n">
        <v>1</v>
      </c>
      <c r="I340" t="inlineStr">
        <is>
          <t>Economía, Comercio y Competitividad</t>
        </is>
      </c>
      <c r="J340" t="n">
        <v>39</v>
      </c>
      <c r="K340" t="n">
        <v>0</v>
      </c>
      <c r="L340" t="n">
        <v>0</v>
      </c>
      <c r="M340" t="n">
        <v>2</v>
      </c>
      <c r="N340">
        <f>SUM(J340:M340)</f>
        <v/>
      </c>
      <c r="O340" s="4">
        <f>SUM(J340:L340)/SUM(J340:M340)</f>
        <v/>
      </c>
      <c r="P340" s="5">
        <f>MAX(J340:L340)/SUM(J340:L340)</f>
        <v/>
      </c>
    </row>
    <row r="341">
      <c r="A341" t="inlineStr">
        <is>
          <t>Segundo año</t>
        </is>
      </c>
      <c r="B341" t="inlineStr">
        <is>
          <t>Primer periodo</t>
        </is>
      </c>
      <c r="C341" t="n">
        <v>14</v>
      </c>
      <c r="D341" t="n">
        <v>339</v>
      </c>
      <c r="E341" s="3" t="n">
        <v>45915</v>
      </c>
      <c r="F341" t="inlineStr">
        <is>
          <t>Punto de Acuerdo</t>
        </is>
      </c>
      <c r="G341" t="inlineStr">
        <is>
          <t>Acuerdo por el que se exhorta al honorable ayuntamiento del municipio de para que, a través de la tesorería municipal y en coordinación con las demás dependencias y entidades municipales, priorice y facilite el pago en efectivo de los diversos ingresos municipales, en favor de las personas adultas mayores y con discapacidad, promoviéndolo como un método compensatorio y alternativo de recaudación en los distintos puntos de cobro, con el fin de garantizar la equidad, inclusión, accesibilidad y eficiencia administrativa</t>
        </is>
      </c>
      <c r="H341" t="n">
        <v>18</v>
      </c>
      <c r="I341" t="inlineStr">
        <is>
          <t>Administración Pública</t>
        </is>
      </c>
      <c r="J341" t="n">
        <v>39</v>
      </c>
      <c r="K341" t="n">
        <v>0</v>
      </c>
      <c r="L341" t="n">
        <v>0</v>
      </c>
      <c r="M341" t="n">
        <v>2</v>
      </c>
      <c r="N341">
        <f>SUM(J341:M341)</f>
        <v/>
      </c>
      <c r="O341" s="4">
        <f>SUM(J341:L341)/SUM(J341:M341)</f>
        <v/>
      </c>
      <c r="P341" s="5">
        <f>MAX(J341:L341)/SUM(J341:L341)</f>
        <v/>
      </c>
    </row>
    <row r="342">
      <c r="A342" t="inlineStr">
        <is>
          <t>Segundo año</t>
        </is>
      </c>
      <c r="B342" t="inlineStr">
        <is>
          <t>Primer periodo</t>
        </is>
      </c>
      <c r="C342" t="n">
        <v>15</v>
      </c>
      <c r="D342" t="n">
        <v>340</v>
      </c>
      <c r="E342" s="3" t="n">
        <v>45918</v>
      </c>
      <c r="F342" t="inlineStr">
        <is>
          <t>Punto de Acuerdo</t>
        </is>
      </c>
      <c r="G342" t="inlineStr">
        <is>
          <t>Acuerdo por el cual la dispensa de lectura del orden del día</t>
        </is>
      </c>
      <c r="H342" t="n">
        <v>19</v>
      </c>
      <c r="I342" t="inlineStr">
        <is>
          <t>Internos del Congreso</t>
        </is>
      </c>
      <c r="J342" t="n">
        <v>41</v>
      </c>
      <c r="K342" t="n">
        <v>0</v>
      </c>
      <c r="L342" t="n">
        <v>0</v>
      </c>
      <c r="M342" t="n">
        <v>0</v>
      </c>
      <c r="N342">
        <f>SUM(J342:M342)</f>
        <v/>
      </c>
      <c r="O342" s="4">
        <f>SUM(J342:L342)/SUM(J342:M342)</f>
        <v/>
      </c>
      <c r="P342" s="5">
        <f>MAX(J342:L342)/SUM(J342:L342)</f>
        <v/>
      </c>
    </row>
    <row r="343">
      <c r="A343" t="inlineStr">
        <is>
          <t>Segundo año</t>
        </is>
      </c>
      <c r="B343" t="inlineStr">
        <is>
          <t>Primer periodo</t>
        </is>
      </c>
      <c r="C343" t="n">
        <v>16</v>
      </c>
      <c r="D343" t="n">
        <v>341</v>
      </c>
      <c r="E343" s="3" t="n">
        <v>45918</v>
      </c>
      <c r="F343" t="inlineStr">
        <is>
          <t>Punto de Acuerdo</t>
        </is>
      </c>
      <c r="G343" t="inlineStr">
        <is>
          <t>Acuerdo por el cual la solicitud para retirar el punto dieciséis del orden del día</t>
        </is>
      </c>
      <c r="H343" t="n">
        <v>19</v>
      </c>
      <c r="I343" t="inlineStr">
        <is>
          <t>Internos del Congreso</t>
        </is>
      </c>
      <c r="J343" t="n">
        <v>41</v>
      </c>
      <c r="K343" t="n">
        <v>0</v>
      </c>
      <c r="L343" t="n">
        <v>0</v>
      </c>
      <c r="M343" t="n">
        <v>0</v>
      </c>
      <c r="N343">
        <f>SUM(J343:M343)</f>
        <v/>
      </c>
      <c r="O343" s="4">
        <f>SUM(J343:L343)/SUM(J343:M343)</f>
        <v/>
      </c>
      <c r="P343" s="5">
        <f>MAX(J343:L343)/SUM(J343:L343)</f>
        <v/>
      </c>
    </row>
    <row r="344">
      <c r="A344" t="inlineStr">
        <is>
          <t>Segundo año</t>
        </is>
      </c>
      <c r="B344" t="inlineStr">
        <is>
          <t>Primer periodo</t>
        </is>
      </c>
      <c r="C344" t="n">
        <v>17</v>
      </c>
      <c r="D344" t="n">
        <v>342</v>
      </c>
      <c r="E344" s="3" t="n">
        <v>45918</v>
      </c>
      <c r="F344" t="inlineStr">
        <is>
          <t>Punto de Acuerdo</t>
        </is>
      </c>
      <c r="G344" t="inlineStr">
        <is>
          <t>Acuerdo por el cual la dispensa de lectura del acta de la sesión pública ordinaria celebrada el quince de septiembre</t>
        </is>
      </c>
      <c r="H344" t="n">
        <v>19</v>
      </c>
      <c r="I344" t="inlineStr">
        <is>
          <t>Internos del Congreso</t>
        </is>
      </c>
      <c r="J344" t="n">
        <v>41</v>
      </c>
      <c r="K344" t="n">
        <v>0</v>
      </c>
      <c r="L344" t="n">
        <v>0</v>
      </c>
      <c r="M344" t="n">
        <v>0</v>
      </c>
      <c r="N344">
        <f>SUM(J344:M344)</f>
        <v/>
      </c>
      <c r="O344" s="4">
        <f>SUM(J344:L344)/SUM(J344:M344)</f>
        <v/>
      </c>
      <c r="P344" s="5">
        <f>MAX(J344:L344)/SUM(J344:L344)</f>
        <v/>
      </c>
    </row>
    <row r="345">
      <c r="A345" t="inlineStr">
        <is>
          <t>Segundo año</t>
        </is>
      </c>
      <c r="B345" t="inlineStr">
        <is>
          <t>Primer periodo</t>
        </is>
      </c>
      <c r="C345" t="n">
        <v>18</v>
      </c>
      <c r="D345" t="n">
        <v>343</v>
      </c>
      <c r="E345" s="3" t="n">
        <v>45918</v>
      </c>
      <c r="F345" t="inlineStr">
        <is>
          <t>Punto de Acuerdo</t>
        </is>
      </c>
      <c r="G345" t="inlineStr">
        <is>
          <t>Acuerdo por el cual el contenido del acta de la sesión pública ordinaria celebrada el quince de septiembre</t>
        </is>
      </c>
      <c r="H345" t="n">
        <v>19</v>
      </c>
      <c r="I345" t="inlineStr">
        <is>
          <t>Internos del Congreso</t>
        </is>
      </c>
      <c r="J345" t="n">
        <v>41</v>
      </c>
      <c r="K345" t="n">
        <v>0</v>
      </c>
      <c r="L345" t="n">
        <v>0</v>
      </c>
      <c r="M345" t="n">
        <v>0</v>
      </c>
      <c r="N345">
        <f>SUM(J345:M345)</f>
        <v/>
      </c>
      <c r="O345" s="4">
        <f>SUM(J345:L345)/SUM(J345:M345)</f>
        <v/>
      </c>
      <c r="P345" s="5">
        <f>MAX(J345:L345)/SUM(J345:L345)</f>
        <v/>
      </c>
    </row>
    <row r="346">
      <c r="A346" t="inlineStr">
        <is>
          <t>Segundo año</t>
        </is>
      </c>
      <c r="B346" t="inlineStr">
        <is>
          <t>Primer periodo</t>
        </is>
      </c>
      <c r="C346" t="n">
        <v>19</v>
      </c>
      <c r="D346" t="n">
        <v>344</v>
      </c>
      <c r="E346" s="3" t="n">
        <v>45925</v>
      </c>
      <c r="F346" t="inlineStr">
        <is>
          <t>Punto de Acuerdo</t>
        </is>
      </c>
      <c r="G346" t="inlineStr">
        <is>
          <t>Acuerdo por el cual la dispensa de lectura</t>
        </is>
      </c>
      <c r="H346" t="n">
        <v>19</v>
      </c>
      <c r="I346" t="inlineStr">
        <is>
          <t>Internos del Congreso</t>
        </is>
      </c>
      <c r="J346" t="n">
        <v>41</v>
      </c>
      <c r="K346" t="n">
        <v>0</v>
      </c>
      <c r="L346" t="n">
        <v>0</v>
      </c>
      <c r="M346" t="n">
        <v>0</v>
      </c>
      <c r="N346">
        <f>SUM(J346:M346)</f>
        <v/>
      </c>
      <c r="O346" s="4">
        <f>SUM(J346:L346)/SUM(J346:M346)</f>
        <v/>
      </c>
      <c r="P346" s="5">
        <f>MAX(J346:L346)/SUM(J346:L346)</f>
        <v/>
      </c>
    </row>
    <row r="347">
      <c r="A347" t="inlineStr">
        <is>
          <t>Segundo año</t>
        </is>
      </c>
      <c r="B347" t="inlineStr">
        <is>
          <t>Primer periodo</t>
        </is>
      </c>
      <c r="C347" t="n">
        <v>20</v>
      </c>
      <c r="D347" t="n">
        <v>345</v>
      </c>
      <c r="E347" s="3" t="n">
        <v>45925</v>
      </c>
      <c r="F347" t="inlineStr">
        <is>
          <t>Punto de Acuerdo</t>
        </is>
      </c>
      <c r="G347" t="inlineStr">
        <is>
          <t>Acuerdo por el cual las solicitudes para retirar puntos del orden del día</t>
        </is>
      </c>
      <c r="H347" t="n">
        <v>19</v>
      </c>
      <c r="I347" t="inlineStr">
        <is>
          <t>Internos del Congreso</t>
        </is>
      </c>
      <c r="J347" t="n">
        <v>41</v>
      </c>
      <c r="K347" t="n">
        <v>0</v>
      </c>
      <c r="L347" t="n">
        <v>0</v>
      </c>
      <c r="M347" t="n">
        <v>0</v>
      </c>
      <c r="N347">
        <f>SUM(J347:M347)</f>
        <v/>
      </c>
      <c r="O347" s="4">
        <f>SUM(J347:L347)/SUM(J347:M347)</f>
        <v/>
      </c>
      <c r="P347" s="5">
        <f>MAX(J347:L347)/SUM(J347:L347)</f>
        <v/>
      </c>
    </row>
    <row r="348">
      <c r="A348" t="inlineStr">
        <is>
          <t>Segundo año</t>
        </is>
      </c>
      <c r="B348" t="inlineStr">
        <is>
          <t>Primer periodo</t>
        </is>
      </c>
      <c r="C348" t="n">
        <v>21</v>
      </c>
      <c r="D348" t="n">
        <v>346</v>
      </c>
      <c r="E348" s="3" t="n">
        <v>45925</v>
      </c>
      <c r="F348" t="inlineStr">
        <is>
          <t>Punto de Acuerdo</t>
        </is>
      </c>
      <c r="G348" t="inlineStr">
        <is>
          <t>Acuerdo por el cual la dispensa de lectura del acta de la sesión anterior</t>
        </is>
      </c>
      <c r="H348" t="n">
        <v>19</v>
      </c>
      <c r="I348" t="inlineStr">
        <is>
          <t>Internos del Congreso</t>
        </is>
      </c>
      <c r="J348" t="n">
        <v>41</v>
      </c>
      <c r="K348" t="n">
        <v>0</v>
      </c>
      <c r="L348" t="n">
        <v>0</v>
      </c>
      <c r="M348" t="n">
        <v>0</v>
      </c>
      <c r="N348">
        <f>SUM(J348:M348)</f>
        <v/>
      </c>
      <c r="O348" s="4">
        <f>SUM(J348:L348)/SUM(J348:M348)</f>
        <v/>
      </c>
      <c r="P348" s="5">
        <f>MAX(J348:L348)/SUM(J348:L348)</f>
        <v/>
      </c>
    </row>
    <row r="349">
      <c r="A349" t="inlineStr">
        <is>
          <t>Segundo año</t>
        </is>
      </c>
      <c r="B349" t="inlineStr">
        <is>
          <t>Primer periodo</t>
        </is>
      </c>
      <c r="C349" t="n">
        <v>22</v>
      </c>
      <c r="D349" t="n">
        <v>347</v>
      </c>
      <c r="E349" s="3" t="n">
        <v>45925</v>
      </c>
      <c r="F349" t="inlineStr">
        <is>
          <t>Punto de Acuerdo</t>
        </is>
      </c>
      <c r="G349" t="inlineStr">
        <is>
          <t>Acuerdo por el cual el contenido del acta de la sesión anterior</t>
        </is>
      </c>
      <c r="H349" t="n">
        <v>19</v>
      </c>
      <c r="I349" t="inlineStr">
        <is>
          <t>Internos del Congreso</t>
        </is>
      </c>
      <c r="J349" t="n">
        <v>41</v>
      </c>
      <c r="K349" t="n">
        <v>0</v>
      </c>
      <c r="L349" t="n">
        <v>0</v>
      </c>
      <c r="M349" t="n">
        <v>0</v>
      </c>
      <c r="N349">
        <f>SUM(J349:M349)</f>
        <v/>
      </c>
      <c r="O349" s="4">
        <f>SUM(J349:L349)/SUM(J349:M349)</f>
        <v/>
      </c>
      <c r="P349" s="5">
        <f>MAX(J349:L349)/SUM(J349:L349)</f>
        <v/>
      </c>
    </row>
    <row r="350">
      <c r="A350" t="inlineStr">
        <is>
          <t>Segundo año</t>
        </is>
      </c>
      <c r="B350" t="inlineStr">
        <is>
          <t>Primer periodo</t>
        </is>
      </c>
      <c r="C350" t="n">
        <v>23</v>
      </c>
      <c r="D350" t="n">
        <v>348</v>
      </c>
      <c r="E350" s="3" t="n">
        <v>45932</v>
      </c>
      <c r="F350" t="inlineStr">
        <is>
          <t>Iniciativa</t>
        </is>
      </c>
      <c r="G350" t="inlineStr">
        <is>
          <t>Dictamen con minuta Proyecto de decreto por el cual se reforman los artículos 76 y 78 de la constitución política de los estados unidos mexicanos, en materia de ratificación de grados superiores de la guardia nacional</t>
        </is>
      </c>
      <c r="H350" t="n">
        <v>3</v>
      </c>
      <c r="I350" t="inlineStr">
        <is>
          <t>Seguridad Pública, Protección Civil y Narcotráfico</t>
        </is>
      </c>
      <c r="J350" t="n">
        <v>34</v>
      </c>
      <c r="K350" t="n">
        <v>6</v>
      </c>
      <c r="L350" t="n">
        <v>0</v>
      </c>
      <c r="M350" t="n">
        <v>1</v>
      </c>
      <c r="N350">
        <f>SUM(J350:M350)</f>
        <v/>
      </c>
      <c r="O350" s="4">
        <f>SUM(J350:L350)/SUM(J350:M350)</f>
        <v/>
      </c>
      <c r="P350" s="5">
        <f>MAX(J350:L350)/SUM(J350:L350)</f>
        <v/>
      </c>
    </row>
    <row r="351">
      <c r="A351" t="inlineStr">
        <is>
          <t>Segundo año</t>
        </is>
      </c>
      <c r="B351" t="inlineStr">
        <is>
          <t>Primer periodo</t>
        </is>
      </c>
      <c r="C351" t="n">
        <v>24</v>
      </c>
      <c r="D351" t="n">
        <v>349</v>
      </c>
      <c r="E351" s="3" t="n">
        <v>45932</v>
      </c>
      <c r="F351" t="inlineStr">
        <is>
          <t>Iniciativa</t>
        </is>
      </c>
      <c r="G351" t="inlineStr">
        <is>
          <t>Dictamen con minuta Proyecto de decreto por el cual se reforma el inciso a) de la fracción xxi del artículo 73 de la constitución política de los estados unidos mexicanos, en materia de extorsión</t>
        </is>
      </c>
      <c r="H351" t="n">
        <v>3</v>
      </c>
      <c r="I351" t="inlineStr">
        <is>
          <t>Seguridad Pública, Protección Civil y Narcotráfico</t>
        </is>
      </c>
      <c r="J351" t="n">
        <v>41</v>
      </c>
      <c r="K351" t="n">
        <v>0</v>
      </c>
      <c r="L351" t="n">
        <v>0</v>
      </c>
      <c r="M351" t="n">
        <v>0</v>
      </c>
      <c r="N351">
        <f>SUM(J351:M351)</f>
        <v/>
      </c>
      <c r="O351" s="4">
        <f>SUM(J351:L351)/SUM(J351:M351)</f>
        <v/>
      </c>
      <c r="P351" s="5">
        <f>MAX(J351:L351)/SUM(J351:L351)</f>
        <v/>
      </c>
    </row>
    <row r="352">
      <c r="A352" t="inlineStr">
        <is>
          <t>Segundo año</t>
        </is>
      </c>
      <c r="B352" t="inlineStr">
        <is>
          <t>Primer periodo</t>
        </is>
      </c>
      <c r="C352" t="n">
        <v>25</v>
      </c>
      <c r="D352" t="n">
        <v>350</v>
      </c>
      <c r="E352" s="3" t="n">
        <v>45932</v>
      </c>
      <c r="F352" t="inlineStr">
        <is>
          <t>Iniciativa</t>
        </is>
      </c>
      <c r="G352" t="inlineStr">
        <is>
          <t>Dictamen con minuta de decreto por el cual se reforman y adicionan diversas disposiciones de la ley estatal de salud; y de la ley de los derechos de las niñas, niños y adolescentes del estado</t>
        </is>
      </c>
      <c r="H352" t="n">
        <v>6</v>
      </c>
      <c r="I352" t="inlineStr">
        <is>
          <t>Salud</t>
        </is>
      </c>
      <c r="J352" t="n">
        <v>41</v>
      </c>
      <c r="K352" t="n">
        <v>0</v>
      </c>
      <c r="L352" t="n">
        <v>0</v>
      </c>
      <c r="M352" t="n">
        <v>0</v>
      </c>
      <c r="N352">
        <f>SUM(J352:M352)</f>
        <v/>
      </c>
      <c r="O352" s="4">
        <f>SUM(J352:L352)/SUM(J352:M352)</f>
        <v/>
      </c>
      <c r="P352" s="5">
        <f>MAX(J352:L352)/SUM(J352:L352)</f>
        <v/>
      </c>
    </row>
    <row r="353">
      <c r="A353" t="inlineStr">
        <is>
          <t>Segundo año</t>
        </is>
      </c>
      <c r="B353" t="inlineStr">
        <is>
          <t>Primer periodo</t>
        </is>
      </c>
      <c r="C353" t="n">
        <v>26</v>
      </c>
      <c r="D353" t="n">
        <v>351</v>
      </c>
      <c r="E353" s="3" t="n">
        <v>45932</v>
      </c>
      <c r="F353" t="inlineStr">
        <is>
          <t>Iniciativa</t>
        </is>
      </c>
      <c r="G353" t="inlineStr">
        <is>
          <t>Dictamen con minuta de decreto por el cual se adiciona la fracción x al artículo 39 de la ley de los trabajadores al servicio del estado y se reforman las fracciones ix, x y se adiciona la fracción xi al artículo 36 de la ley de los trabajadores al servicio del ayuntamiento del municipio</t>
        </is>
      </c>
      <c r="H353" t="n">
        <v>16</v>
      </c>
      <c r="I353" t="inlineStr">
        <is>
          <t>Trabajo y Previsión Social</t>
        </is>
      </c>
      <c r="J353" t="n">
        <v>41</v>
      </c>
      <c r="K353" t="n">
        <v>0</v>
      </c>
      <c r="L353" t="n">
        <v>0</v>
      </c>
      <c r="M353" t="n">
        <v>0</v>
      </c>
      <c r="N353">
        <f>SUM(J353:M353)</f>
        <v/>
      </c>
      <c r="O353" s="4">
        <f>SUM(J353:L353)/SUM(J353:M353)</f>
        <v/>
      </c>
      <c r="P353" s="5">
        <f>MAX(J353:L353)/SUM(J353:L353)</f>
        <v/>
      </c>
    </row>
    <row r="354">
      <c r="A354" t="inlineStr">
        <is>
          <t>Segundo año</t>
        </is>
      </c>
      <c r="B354" t="inlineStr">
        <is>
          <t>Primer periodo</t>
        </is>
      </c>
      <c r="C354" t="n">
        <v>27</v>
      </c>
      <c r="D354" t="n">
        <v>352</v>
      </c>
      <c r="E354" s="3" t="n">
        <v>45932</v>
      </c>
      <c r="F354" t="inlineStr">
        <is>
          <t>Punto de Acuerdo</t>
        </is>
      </c>
      <c r="G354" t="inlineStr">
        <is>
          <t>Acuerdo por el que se exhorta a la secretaría de desarrollo económico y trabajo, y a los doscientos doce ayuntamientos y cinco concejos municipales del estado, para que en el ámbito de su competencia y circunscripciones, atiendan y difundan la norma oficial mexicana nom-035-stps-2018</t>
        </is>
      </c>
      <c r="H354" t="n">
        <v>16</v>
      </c>
      <c r="I354" t="inlineStr">
        <is>
          <t>Trabajo y Previsión Social</t>
        </is>
      </c>
      <c r="J354" t="n">
        <v>41</v>
      </c>
      <c r="K354" t="n">
        <v>0</v>
      </c>
      <c r="L354" t="n">
        <v>0</v>
      </c>
      <c r="M354" t="n">
        <v>0</v>
      </c>
      <c r="N354">
        <f>SUM(J354:M354)</f>
        <v/>
      </c>
      <c r="O354" s="4">
        <f>SUM(J354:L354)/SUM(J354:M354)</f>
        <v/>
      </c>
      <c r="P354" s="5">
        <f>MAX(J354:L354)/SUM(J354:L354)</f>
        <v/>
      </c>
    </row>
    <row r="355">
      <c r="A355" t="inlineStr">
        <is>
          <t>Segundo año</t>
        </is>
      </c>
      <c r="B355" t="inlineStr">
        <is>
          <t>Primer periodo</t>
        </is>
      </c>
      <c r="C355" t="n">
        <v>28</v>
      </c>
      <c r="D355" t="n">
        <v>353</v>
      </c>
      <c r="E355" s="3" t="n">
        <v>45932</v>
      </c>
      <c r="F355" t="inlineStr">
        <is>
          <t>Punto de Acuerdo</t>
        </is>
      </c>
      <c r="G355" t="inlineStr">
        <is>
          <t>Acuerdo por el cual se exhorta a la secretaría de medio ambiente, desarrollo sustentable y ordenamiento territorial, y a la secretaría de agricultura y desarrollo rural, ambas del estado, para que en coordinación con los doscientos doce ayuntamientos y cinco concejos municipales de la entidad, implementen acciones para fomentar y proteger la actividad apícola en territorio poblano</t>
        </is>
      </c>
      <c r="H355" t="n">
        <v>5</v>
      </c>
      <c r="I355" t="inlineStr">
        <is>
          <t>Medio Ambiente</t>
        </is>
      </c>
      <c r="J355" t="n">
        <v>41</v>
      </c>
      <c r="K355" t="n">
        <v>0</v>
      </c>
      <c r="L355" t="n">
        <v>0</v>
      </c>
      <c r="M355" t="n">
        <v>0</v>
      </c>
      <c r="N355">
        <f>SUM(J355:M355)</f>
        <v/>
      </c>
      <c r="O355" s="4">
        <f>SUM(J355:L355)/SUM(J355:M355)</f>
        <v/>
      </c>
      <c r="P355" s="5">
        <f>MAX(J355:L355)/SUM(J355:L355)</f>
        <v/>
      </c>
    </row>
    <row r="356">
      <c r="A356" t="inlineStr">
        <is>
          <t>Segundo año</t>
        </is>
      </c>
      <c r="B356" t="inlineStr">
        <is>
          <t>Primer periodo</t>
        </is>
      </c>
      <c r="C356" t="n">
        <v>29</v>
      </c>
      <c r="D356" t="n">
        <v>354</v>
      </c>
      <c r="E356" s="3" t="n">
        <v>45932</v>
      </c>
      <c r="F356" t="inlineStr">
        <is>
          <t>Punto de Acuerdo</t>
        </is>
      </c>
      <c r="G356" t="inlineStr">
        <is>
          <t>Acuerdo por el cual se exhorta a la agencia nacional de seguridad industrial y de protección al medio ambiente del sector hidrocarburos, para que fortalezca la supervisión y concientización en las estaciones de almacenamiento y expendio de diésel y gasolina en el estado</t>
        </is>
      </c>
      <c r="H356" t="n">
        <v>5</v>
      </c>
      <c r="I356" t="inlineStr">
        <is>
          <t>Medio Ambiente</t>
        </is>
      </c>
      <c r="J356" t="n">
        <v>41</v>
      </c>
      <c r="K356" t="n">
        <v>0</v>
      </c>
      <c r="L356" t="n">
        <v>0</v>
      </c>
      <c r="M356" t="n">
        <v>0</v>
      </c>
      <c r="N356">
        <f>SUM(J356:M356)</f>
        <v/>
      </c>
      <c r="O356" s="4">
        <f>SUM(J356:L356)/SUM(J356:M356)</f>
        <v/>
      </c>
      <c r="P356" s="5">
        <f>MAX(J356:L356)/SUM(J356:L356)</f>
        <v/>
      </c>
    </row>
    <row r="357">
      <c r="A357" t="inlineStr">
        <is>
          <t>Segundo año</t>
        </is>
      </c>
      <c r="B357" t="inlineStr">
        <is>
          <t>Primer periodo</t>
        </is>
      </c>
      <c r="C357" t="n">
        <v>30</v>
      </c>
      <c r="D357" t="n">
        <v>355</v>
      </c>
      <c r="E357" s="3" t="n">
        <v>45932</v>
      </c>
      <c r="F357" t="inlineStr">
        <is>
          <t>Punto de Acuerdo</t>
        </is>
      </c>
      <c r="G357" t="inlineStr">
        <is>
          <t>Acuerdo por el cual se exhorta a la secretaría de medio ambiente, desarrollo sustentable y ordenamiento territorial del estado, para que dentro de su partida presupuestal para el ejercicio fiscal 2026, considere recursos para la actualización y monitoreo del inventario estatal forestal y de suelos</t>
        </is>
      </c>
      <c r="H357" t="n">
        <v>5</v>
      </c>
      <c r="I357" t="inlineStr">
        <is>
          <t>Medio Ambiente</t>
        </is>
      </c>
      <c r="J357" t="n">
        <v>41</v>
      </c>
      <c r="K357" t="n">
        <v>0</v>
      </c>
      <c r="L357" t="n">
        <v>0</v>
      </c>
      <c r="M357" t="n">
        <v>0</v>
      </c>
      <c r="N357">
        <f>SUM(J357:M357)</f>
        <v/>
      </c>
      <c r="O357" s="4">
        <f>SUM(J357:L357)/SUM(J357:M357)</f>
        <v/>
      </c>
      <c r="P357" s="5">
        <f>MAX(J357:L357)/SUM(J357:L357)</f>
        <v/>
      </c>
    </row>
    <row r="358">
      <c r="A358" t="inlineStr">
        <is>
          <t>Segundo año</t>
        </is>
      </c>
      <c r="B358" t="inlineStr">
        <is>
          <t>Primer periodo</t>
        </is>
      </c>
      <c r="C358" t="n">
        <v>31</v>
      </c>
      <c r="D358" t="n">
        <v>356</v>
      </c>
      <c r="E358" s="3" t="n">
        <v>45939</v>
      </c>
      <c r="F358" t="inlineStr">
        <is>
          <t>Iniciativa</t>
        </is>
      </c>
      <c r="G358" t="inlineStr">
        <is>
          <t>Dictamen con minuta de decreto por el cual se deroga la fracción V del artículo 44 de la ley de gobierno digital para el estado de y sus municipios</t>
        </is>
      </c>
      <c r="H358" t="n">
        <v>18</v>
      </c>
      <c r="I358" t="inlineStr">
        <is>
          <t>Administración Pública</t>
        </is>
      </c>
      <c r="J358" t="n">
        <v>34</v>
      </c>
      <c r="K358" t="n">
        <v>0</v>
      </c>
      <c r="L358" t="n">
        <v>0</v>
      </c>
      <c r="M358" t="n">
        <v>7</v>
      </c>
      <c r="N358">
        <f>SUM(J358:M358)</f>
        <v/>
      </c>
      <c r="O358" s="4">
        <f>SUM(J358:L358)/SUM(J358:M358)</f>
        <v/>
      </c>
      <c r="P358" s="5">
        <f>MAX(J358:L358)/SUM(J358:L358)</f>
        <v/>
      </c>
    </row>
    <row r="359">
      <c r="A359" t="inlineStr">
        <is>
          <t>Segundo año</t>
        </is>
      </c>
      <c r="B359" t="inlineStr">
        <is>
          <t>Primer periodo</t>
        </is>
      </c>
      <c r="C359" t="n">
        <v>32</v>
      </c>
      <c r="D359" t="n">
        <v>357</v>
      </c>
      <c r="E359" s="3" t="n">
        <v>45939</v>
      </c>
      <c r="F359" t="inlineStr">
        <is>
          <t>Iniciativa</t>
        </is>
      </c>
      <c r="G359" t="inlineStr">
        <is>
          <t>Dictamen con minuta de decreto por el cual se reforma el artículo 1, las fracciones I, II, III, IV, V, VIII, IX y XI del artículo 15, los artículos 41 bis, 43 bis y 69 de la ley de turismo del estado de</t>
        </is>
      </c>
      <c r="H359" t="n">
        <v>1</v>
      </c>
      <c r="I359" t="inlineStr">
        <is>
          <t>Economía, Comercio y Competitividad</t>
        </is>
      </c>
      <c r="J359" t="n">
        <v>34</v>
      </c>
      <c r="K359" t="n">
        <v>0</v>
      </c>
      <c r="L359" t="n">
        <v>0</v>
      </c>
      <c r="M359" t="n">
        <v>7</v>
      </c>
      <c r="N359">
        <f>SUM(J359:M359)</f>
        <v/>
      </c>
      <c r="O359" s="4">
        <f>SUM(J359:L359)/SUM(J359:M359)</f>
        <v/>
      </c>
      <c r="P359" s="5">
        <f>MAX(J359:L359)/SUM(J359:L359)</f>
        <v/>
      </c>
    </row>
    <row r="360">
      <c r="A360" t="inlineStr">
        <is>
          <t>Segundo año</t>
        </is>
      </c>
      <c r="B360" t="inlineStr">
        <is>
          <t>Primer periodo</t>
        </is>
      </c>
      <c r="C360" t="n">
        <v>33</v>
      </c>
      <c r="D360" t="n">
        <v>358</v>
      </c>
      <c r="E360" s="3" t="n">
        <v>45939</v>
      </c>
      <c r="F360" t="inlineStr">
        <is>
          <t>Iniciativa</t>
        </is>
      </c>
      <c r="G360" t="inlineStr">
        <is>
          <t>Dictamen con minuta de decreto por el cual se autoriza al honorable ayuntamiento del municipio de cuautlancingo, la enajenación bajo la figura de donación a título gratuito del bien inmueble denominado lote “dos”, manzana cincuenta y uno, del conjunto habitacional denominado bosques de sanctorum</t>
        </is>
      </c>
      <c r="H360" t="n">
        <v>7</v>
      </c>
      <c r="I360" t="inlineStr">
        <is>
          <t>Impuestos, Finanzas Públicas, Patrimonio estatal y municipal</t>
        </is>
      </c>
      <c r="J360" t="n">
        <v>36</v>
      </c>
      <c r="K360" t="n">
        <v>0</v>
      </c>
      <c r="L360" t="n">
        <v>0</v>
      </c>
      <c r="M360" t="n">
        <v>5</v>
      </c>
      <c r="N360">
        <f>SUM(J360:M360)</f>
        <v/>
      </c>
      <c r="O360" s="4">
        <f>SUM(J360:L360)/SUM(J360:M360)</f>
        <v/>
      </c>
      <c r="P360" s="5">
        <f>MAX(J360:L360)/SUM(J360:L360)</f>
        <v/>
      </c>
    </row>
    <row r="361">
      <c r="A361" t="inlineStr">
        <is>
          <t>Segundo año</t>
        </is>
      </c>
      <c r="B361" t="inlineStr">
        <is>
          <t>Primer periodo</t>
        </is>
      </c>
      <c r="C361" t="n">
        <v>34</v>
      </c>
      <c r="D361" t="n">
        <v>359</v>
      </c>
      <c r="E361" s="3" t="n">
        <v>45939</v>
      </c>
      <c r="F361" t="inlineStr">
        <is>
          <t>Iniciativa</t>
        </is>
      </c>
      <c r="G361" t="inlineStr">
        <is>
          <t>Dictamen con minuta de decreto por el cual se autoriza al honorable ayuntamiento del municipio de huatlatlauca, la enajenación bajo la figura de donación a título gratuito a favor del organismo público descentralizado de la administración pública federal no sectorizado, denominado servicios de salud del instituto mexicano del seguro social para el bienestar (imss-bienestar)</t>
        </is>
      </c>
      <c r="H361" t="n">
        <v>6</v>
      </c>
      <c r="I361" t="inlineStr">
        <is>
          <t>Salud</t>
        </is>
      </c>
      <c r="J361" t="n">
        <v>35</v>
      </c>
      <c r="K361" t="n">
        <v>0</v>
      </c>
      <c r="L361" t="n">
        <v>1</v>
      </c>
      <c r="M361" t="n">
        <v>5</v>
      </c>
      <c r="N361">
        <f>SUM(J361:M361)</f>
        <v/>
      </c>
      <c r="O361" s="4">
        <f>SUM(J361:L361)/SUM(J361:M361)</f>
        <v/>
      </c>
      <c r="P361" s="5">
        <f>MAX(J361:L361)/SUM(J361:L361)</f>
        <v/>
      </c>
    </row>
    <row r="362">
      <c r="A362" t="inlineStr">
        <is>
          <t>Segundo año</t>
        </is>
      </c>
      <c r="B362" t="inlineStr">
        <is>
          <t>Primer periodo</t>
        </is>
      </c>
      <c r="C362" t="n">
        <v>35</v>
      </c>
      <c r="D362" t="n">
        <v>360</v>
      </c>
      <c r="E362" s="3" t="n">
        <v>45939</v>
      </c>
      <c r="F362" t="inlineStr">
        <is>
          <t>Punto de Acuerdo</t>
        </is>
      </c>
      <c r="G362" t="inlineStr">
        <is>
          <t>Acuerdo por el que se exhorta a la secretaría de educación pública del estado para que, en el ámbito de su competencia, diseñe, supervise e implemente periódicamente programas de capacitación dirigidos a los y las docentes</t>
        </is>
      </c>
      <c r="H362" t="n">
        <v>8</v>
      </c>
      <c r="I362" t="inlineStr">
        <is>
          <t>Educación y Cultura</t>
        </is>
      </c>
      <c r="J362" t="n">
        <v>37</v>
      </c>
      <c r="K362" t="n">
        <v>0</v>
      </c>
      <c r="L362" t="n">
        <v>0</v>
      </c>
      <c r="M362" t="n">
        <v>4</v>
      </c>
      <c r="N362">
        <f>SUM(J362:M362)</f>
        <v/>
      </c>
      <c r="O362" s="4">
        <f>SUM(J362:L362)/SUM(J362:M362)</f>
        <v/>
      </c>
      <c r="P362" s="5">
        <f>MAX(J362:L362)/SUM(J362:L362)</f>
        <v/>
      </c>
    </row>
    <row r="363">
      <c r="A363" t="inlineStr">
        <is>
          <t>Segundo año</t>
        </is>
      </c>
      <c r="B363" t="inlineStr">
        <is>
          <t>Primer periodo</t>
        </is>
      </c>
      <c r="C363" t="n">
        <v>36</v>
      </c>
      <c r="D363" t="n">
        <v>361</v>
      </c>
      <c r="E363" s="3" t="n">
        <v>45939</v>
      </c>
      <c r="F363" t="inlineStr">
        <is>
          <t>Punto de Acuerdo</t>
        </is>
      </c>
      <c r="G363" t="inlineStr">
        <is>
          <t>Acuerdo por el cual se exhorta a la secretaría de educación pública del estado para que fomente la sostenibilidad de los materiales escolares utilizados en las escuelas durante el ciclo escolar 2025-2026</t>
        </is>
      </c>
      <c r="H363" t="n">
        <v>8</v>
      </c>
      <c r="I363" t="inlineStr">
        <is>
          <t>Educación y Cultura</t>
        </is>
      </c>
      <c r="J363" t="n">
        <v>38</v>
      </c>
      <c r="K363" t="n">
        <v>0</v>
      </c>
      <c r="L363" t="n">
        <v>0</v>
      </c>
      <c r="M363" t="n">
        <v>3</v>
      </c>
      <c r="N363">
        <f>SUM(J363:M363)</f>
        <v/>
      </c>
      <c r="O363" s="4">
        <f>SUM(J363:L363)/SUM(J363:M363)</f>
        <v/>
      </c>
      <c r="P363" s="5">
        <f>MAX(J363:L363)/SUM(J363:L363)</f>
        <v/>
      </c>
    </row>
    <row r="364">
      <c r="A364" t="inlineStr">
        <is>
          <t>Segundo año</t>
        </is>
      </c>
      <c r="B364" t="inlineStr">
        <is>
          <t>Primer periodo</t>
        </is>
      </c>
      <c r="C364" t="n">
        <v>37</v>
      </c>
      <c r="D364" t="n">
        <v>362</v>
      </c>
      <c r="E364" s="3" t="n">
        <v>45939</v>
      </c>
      <c r="F364" t="inlineStr">
        <is>
          <t>Punto de Acuerdo</t>
        </is>
      </c>
      <c r="G364" t="inlineStr">
        <is>
          <t>Acuerdo por el que se exhorta a los ayuntamientos de los municipios de atlixco, atzitzihuacán, calpan, chiautzingo, domingo arenas, huejotzingo, izúcar de matamoros, nealtican, san andrés cholula, san jerónimo tecuanipan, san martín texmelucan, san nicolás de los ranchos, san pedro cholula, santa isabel cholula, tianguismanalco y tochimilco</t>
        </is>
      </c>
      <c r="H364" t="n">
        <v>3</v>
      </c>
      <c r="I364" t="inlineStr">
        <is>
          <t>Seguridad Pública, Protección Civil y Narcotráfico</t>
        </is>
      </c>
      <c r="J364" t="n">
        <v>39</v>
      </c>
      <c r="K364" t="n">
        <v>0</v>
      </c>
      <c r="L364" t="n">
        <v>0</v>
      </c>
      <c r="M364" t="n">
        <v>2</v>
      </c>
      <c r="N364">
        <f>SUM(J364:M364)</f>
        <v/>
      </c>
      <c r="O364" s="4">
        <f>SUM(J364:L364)/SUM(J364:M364)</f>
        <v/>
      </c>
      <c r="P364" s="5">
        <f>MAX(J364:L364)/SUM(J364:L364)</f>
        <v/>
      </c>
    </row>
    <row r="365">
      <c r="A365" t="inlineStr">
        <is>
          <t>Segundo año</t>
        </is>
      </c>
      <c r="B365" t="inlineStr">
        <is>
          <t>Primer periodo</t>
        </is>
      </c>
      <c r="C365" t="n">
        <v>38</v>
      </c>
      <c r="D365" t="n">
        <v>363</v>
      </c>
      <c r="E365" s="3" t="n">
        <v>45946</v>
      </c>
      <c r="F365" t="inlineStr">
        <is>
          <t>Iniciativa</t>
        </is>
      </c>
      <c r="G365" t="inlineStr">
        <is>
          <t>Dictamen con minuta de decreto por el cual se reforman la fracción VI del artículo 5, el artículo 14, las fracciones XI y XII del 15, y el 16, y se adicionan la fracción VI bis al artículo 5, el 14 bis, las fracciones XIII, XIV y XV al 15, el 15 bis y el 15 ter de la ley de prestación de servicios para la atención, cuidado y desarrollo integral infantil del estado de</t>
        </is>
      </c>
      <c r="H365" t="n">
        <v>6</v>
      </c>
      <c r="I365" t="inlineStr">
        <is>
          <t>Salud</t>
        </is>
      </c>
      <c r="J365" t="n">
        <v>37</v>
      </c>
      <c r="K365" t="n">
        <v>0</v>
      </c>
      <c r="L365" t="n">
        <v>0</v>
      </c>
      <c r="M365" t="n">
        <v>0</v>
      </c>
      <c r="N365">
        <f>SUM(J365:M365)</f>
        <v/>
      </c>
      <c r="O365" s="4">
        <f>SUM(J365:L365)/SUM(J365:M365)</f>
        <v/>
      </c>
      <c r="P365" s="5">
        <f>MAX(J365:L365)/SUM(J365:L365)</f>
        <v/>
      </c>
    </row>
    <row r="366">
      <c r="A366" t="inlineStr">
        <is>
          <t>Segundo año</t>
        </is>
      </c>
      <c r="B366" t="inlineStr">
        <is>
          <t>Primer periodo</t>
        </is>
      </c>
      <c r="C366" t="n">
        <v>39</v>
      </c>
      <c r="D366" t="n">
        <v>364</v>
      </c>
      <c r="E366" s="3" t="n">
        <v>45946</v>
      </c>
      <c r="F366" t="inlineStr">
        <is>
          <t>Iniciativa</t>
        </is>
      </c>
      <c r="G366" t="inlineStr">
        <is>
          <t>Dictamen con minuta de decreto por el cual se reforma el decreto por el que se instituye la medalla al mérito docente “juan c. bonilla”</t>
        </is>
      </c>
      <c r="H366" t="n">
        <v>8</v>
      </c>
      <c r="I366" t="inlineStr">
        <is>
          <t>Educación y Cultura</t>
        </is>
      </c>
      <c r="J366" t="n">
        <v>37</v>
      </c>
      <c r="K366" t="n">
        <v>0</v>
      </c>
      <c r="L366" t="n">
        <v>0</v>
      </c>
      <c r="M366" t="n">
        <v>0</v>
      </c>
      <c r="N366">
        <f>SUM(J366:M366)</f>
        <v/>
      </c>
      <c r="O366" s="4">
        <f>SUM(J366:L366)/SUM(J366:M366)</f>
        <v/>
      </c>
      <c r="P366" s="5">
        <f>MAX(J366:L366)/SUM(J366:L366)</f>
        <v/>
      </c>
    </row>
    <row r="367">
      <c r="A367" t="inlineStr">
        <is>
          <t>Segundo año</t>
        </is>
      </c>
      <c r="B367" t="inlineStr">
        <is>
          <t>Primer periodo</t>
        </is>
      </c>
      <c r="C367" t="n">
        <v>40</v>
      </c>
      <c r="D367" t="n">
        <v>365</v>
      </c>
      <c r="E367" s="3" t="n">
        <v>45946</v>
      </c>
      <c r="F367" t="inlineStr">
        <is>
          <t>Iniciativa</t>
        </is>
      </c>
      <c r="G367" t="inlineStr">
        <is>
          <t>Dictamen con minuta de decreto por el cual se reforman adicionan y derogan diversas disposiciones de la ley de seguridad privada del estado libre y soberano de</t>
        </is>
      </c>
      <c r="H367" t="n">
        <v>3</v>
      </c>
      <c r="I367" t="inlineStr">
        <is>
          <t>Seguridad Pública, Protección Civil y Narcotráfico</t>
        </is>
      </c>
      <c r="J367" t="n">
        <v>37</v>
      </c>
      <c r="K367" t="n">
        <v>0</v>
      </c>
      <c r="L367" t="n">
        <v>0</v>
      </c>
      <c r="M367" t="n">
        <v>0</v>
      </c>
      <c r="N367">
        <f>SUM(J367:M367)</f>
        <v/>
      </c>
      <c r="O367" s="4">
        <f>SUM(J367:L367)/SUM(J367:M367)</f>
        <v/>
      </c>
      <c r="P367" s="5">
        <f>MAX(J367:L367)/SUM(J367:L367)</f>
        <v/>
      </c>
    </row>
    <row r="368">
      <c r="A368" t="inlineStr">
        <is>
          <t>Segundo año</t>
        </is>
      </c>
      <c r="B368" t="inlineStr">
        <is>
          <t>Primer periodo</t>
        </is>
      </c>
      <c r="C368" t="n">
        <v>41</v>
      </c>
      <c r="D368" t="n">
        <v>366</v>
      </c>
      <c r="E368" s="3" t="n">
        <v>45946</v>
      </c>
      <c r="F368" t="inlineStr">
        <is>
          <t>Iniciativa</t>
        </is>
      </c>
      <c r="G368" t="inlineStr">
        <is>
          <t>Dictamen con minuta de decreto por el cual se declara al municipio de san gabriel chilac como “capital del ajo” del estado de</t>
        </is>
      </c>
      <c r="H368" t="n">
        <v>1</v>
      </c>
      <c r="I368" t="inlineStr">
        <is>
          <t>Economía, Comercio y Competitividad</t>
        </is>
      </c>
      <c r="J368" t="n">
        <v>37</v>
      </c>
      <c r="K368" t="n">
        <v>0</v>
      </c>
      <c r="L368" t="n">
        <v>0</v>
      </c>
      <c r="M368" t="n">
        <v>0</v>
      </c>
      <c r="N368">
        <f>SUM(J368:M368)</f>
        <v/>
      </c>
      <c r="O368" s="4">
        <f>SUM(J368:L368)/SUM(J368:M368)</f>
        <v/>
      </c>
      <c r="P368" s="5">
        <f>MAX(J368:L368)/SUM(J368:L368)</f>
        <v/>
      </c>
    </row>
    <row r="369">
      <c r="A369" t="inlineStr">
        <is>
          <t>Segundo año</t>
        </is>
      </c>
      <c r="B369" t="inlineStr">
        <is>
          <t>Primer periodo</t>
        </is>
      </c>
      <c r="C369" t="n">
        <v>42</v>
      </c>
      <c r="D369" t="n">
        <v>367</v>
      </c>
      <c r="E369" s="3" t="n">
        <v>45946</v>
      </c>
      <c r="F369" t="inlineStr">
        <is>
          <t>Iniciativa</t>
        </is>
      </c>
      <c r="G369" t="inlineStr">
        <is>
          <t>Dictamen con minuta de decreto por el cual se reforma el artículo 96 bis 2 y se adiciona un tercer párrafo al artículo 73 y el artículo 96 bis 3 a la ley de los derechos de las niñas, niños y adolescentes del estado de</t>
        </is>
      </c>
      <c r="H369" t="n">
        <v>2</v>
      </c>
      <c r="I369" t="inlineStr">
        <is>
          <t>Pobreza y Política Social</t>
        </is>
      </c>
      <c r="J369" t="n">
        <v>38</v>
      </c>
      <c r="K369" t="n">
        <v>0</v>
      </c>
      <c r="L369" t="n">
        <v>0</v>
      </c>
      <c r="M369" t="n">
        <v>0</v>
      </c>
      <c r="N369">
        <f>SUM(J369:M369)</f>
        <v/>
      </c>
      <c r="O369" s="4">
        <f>SUM(J369:L369)/SUM(J369:M369)</f>
        <v/>
      </c>
      <c r="P369" s="5">
        <f>MAX(J369:L369)/SUM(J369:L369)</f>
        <v/>
      </c>
    </row>
    <row r="370">
      <c r="A370" t="inlineStr">
        <is>
          <t>Segundo año</t>
        </is>
      </c>
      <c r="B370" t="inlineStr">
        <is>
          <t>Primer periodo</t>
        </is>
      </c>
      <c r="C370" t="n">
        <v>43</v>
      </c>
      <c r="D370" t="n">
        <v>368</v>
      </c>
      <c r="E370" s="3" t="n">
        <v>45946</v>
      </c>
      <c r="F370" t="inlineStr">
        <is>
          <t>Iniciativa</t>
        </is>
      </c>
      <c r="G370" t="inlineStr">
        <is>
          <t>Dictamen con minuta de decreto por el cual se reforman el primer párrafo del artículo 497 y el artículo 498 del código civil para el estado libre y soberano de</t>
        </is>
      </c>
      <c r="H370" t="n">
        <v>14</v>
      </c>
      <c r="I370" t="inlineStr">
        <is>
          <t>Justicia y Estado de Derecho</t>
        </is>
      </c>
      <c r="J370" t="n">
        <v>38</v>
      </c>
      <c r="K370" t="n">
        <v>0</v>
      </c>
      <c r="L370" t="n">
        <v>0</v>
      </c>
      <c r="M370" t="n">
        <v>0</v>
      </c>
      <c r="N370">
        <f>SUM(J370:M370)</f>
        <v/>
      </c>
      <c r="O370" s="4">
        <f>SUM(J370:L370)/SUM(J370:M370)</f>
        <v/>
      </c>
      <c r="P370" s="5">
        <f>MAX(J370:L370)/SUM(J370:L370)</f>
        <v/>
      </c>
    </row>
    <row r="371">
      <c r="A371" t="inlineStr">
        <is>
          <t>Segundo año</t>
        </is>
      </c>
      <c r="B371" t="inlineStr">
        <is>
          <t>Primer periodo</t>
        </is>
      </c>
      <c r="C371" t="n">
        <v>44</v>
      </c>
      <c r="D371" t="n">
        <v>369</v>
      </c>
      <c r="E371" s="3" t="n">
        <v>45946</v>
      </c>
      <c r="F371" t="inlineStr">
        <is>
          <t>Iniciativa</t>
        </is>
      </c>
      <c r="G371" t="inlineStr">
        <is>
          <t>Dictamen con minuta de decreto por el cual se reforman el primer párrafo del artículo 3, el artículo 5, el primer párrafo y la fracción ii del artículo 7 de la ley de vivienda para el estado de</t>
        </is>
      </c>
      <c r="H371" t="n">
        <v>11</v>
      </c>
      <c r="I371" t="inlineStr">
        <is>
          <t>Infraestructura, Movilidad y Transporte</t>
        </is>
      </c>
      <c r="J371" t="n">
        <v>38</v>
      </c>
      <c r="K371" t="n">
        <v>0</v>
      </c>
      <c r="L371" t="n">
        <v>0</v>
      </c>
      <c r="M371" t="n">
        <v>0</v>
      </c>
      <c r="N371">
        <f>SUM(J371:M371)</f>
        <v/>
      </c>
      <c r="O371" s="4">
        <f>SUM(J371:L371)/SUM(J371:M371)</f>
        <v/>
      </c>
      <c r="P371" s="5">
        <f>MAX(J371:L371)/SUM(J371:L371)</f>
        <v/>
      </c>
    </row>
    <row r="372">
      <c r="A372" t="inlineStr">
        <is>
          <t>Segundo año</t>
        </is>
      </c>
      <c r="B372" t="inlineStr">
        <is>
          <t>Primer periodo</t>
        </is>
      </c>
      <c r="C372" t="n">
        <v>45</v>
      </c>
      <c r="D372" t="n">
        <v>370</v>
      </c>
      <c r="E372" s="3" t="n">
        <v>45946</v>
      </c>
      <c r="F372" t="inlineStr">
        <is>
          <t>Punto de Acuerdo</t>
        </is>
      </c>
      <c r="G372" t="inlineStr">
        <is>
          <t>Acuerdo por el que se exhorta a la secretaría de desarrollo económico y trabajo del estado y al sistema estatal dif para que, en el ámbito de su competencia, promuevan la incorporación de al menos el tres por ciento de personas con discapacidad en los centros de trabajo; así como para que implementen programas de capacitación que les permitan desarrollarse plena y dignamente en el ámbito laboral y profesional</t>
        </is>
      </c>
      <c r="H372" t="n">
        <v>2</v>
      </c>
      <c r="I372" t="inlineStr">
        <is>
          <t>Pobreza y Política Social</t>
        </is>
      </c>
      <c r="J372" t="n">
        <v>38</v>
      </c>
      <c r="K372" t="n">
        <v>0</v>
      </c>
      <c r="L372" t="n">
        <v>0</v>
      </c>
      <c r="M372" t="n">
        <v>0</v>
      </c>
      <c r="N372">
        <f>SUM(J372:M372)</f>
        <v/>
      </c>
      <c r="O372" s="4">
        <f>SUM(J372:L372)/SUM(J372:M372)</f>
        <v/>
      </c>
      <c r="P372" s="5">
        <f>MAX(J372:L372)/SUM(J372:L372)</f>
        <v/>
      </c>
    </row>
    <row r="373">
      <c r="A373" t="inlineStr">
        <is>
          <t>Segundo año</t>
        </is>
      </c>
      <c r="B373" t="inlineStr">
        <is>
          <t>Primer periodo</t>
        </is>
      </c>
      <c r="C373" t="n">
        <v>46</v>
      </c>
      <c r="D373" t="n">
        <v>371</v>
      </c>
      <c r="E373" s="3" t="n">
        <v>45946</v>
      </c>
      <c r="F373" t="inlineStr">
        <is>
          <t>Punto de Acuerdo</t>
        </is>
      </c>
      <c r="G373" t="inlineStr">
        <is>
          <t>Acuerdo por el que se exhorta a la secretaría de hacienda y crédito público federal, para que considere la inclusión del estado de en el “programa de regularización de vehículos usados de procedencia extranjera”, en atención al índice de vehículos extranjeros introducidos en la entidad en condiciones de irregularidad, con el fin de otorgar certeza jurídica a las personas propietarias, fortalecer la seguridad pública mediante el control vehicular, y contribuir al orden fiscal y administrativo en el estado</t>
        </is>
      </c>
      <c r="H373" t="n">
        <v>7</v>
      </c>
      <c r="I373" t="inlineStr">
        <is>
          <t>Impuestos, Finanzas Públicas, Patrimonio estatal y municipal</t>
        </is>
      </c>
      <c r="J373" t="n">
        <v>38</v>
      </c>
      <c r="K373" t="n">
        <v>0</v>
      </c>
      <c r="L373" t="n">
        <v>0</v>
      </c>
      <c r="M373" t="n">
        <v>0</v>
      </c>
      <c r="N373">
        <f>SUM(J373:M373)</f>
        <v/>
      </c>
      <c r="O373" s="4">
        <f>SUM(J373:L373)/SUM(J373:M373)</f>
        <v/>
      </c>
      <c r="P373" s="5">
        <f>MAX(J373:L373)/SUM(J373:L373)</f>
        <v/>
      </c>
    </row>
    <row r="374">
      <c r="A374" t="inlineStr">
        <is>
          <t>Segundo año</t>
        </is>
      </c>
      <c r="B374" t="inlineStr">
        <is>
          <t>Primer periodo</t>
        </is>
      </c>
      <c r="C374" t="n">
        <v>47</v>
      </c>
      <c r="D374" t="n">
        <v>372</v>
      </c>
      <c r="E374" s="3" t="n">
        <v>45946</v>
      </c>
      <c r="F374" t="inlineStr">
        <is>
          <t>Punto de Acuerdo</t>
        </is>
      </c>
      <c r="G374" t="inlineStr">
        <is>
          <t>Acuerdo por el que se exhorta al sistema estatal para el desarrollo integral de la familia, y a los doscientos doce ayuntamientos y cinco concejos municipales del estado, para que, de manera coordinada y en el ámbito de su competencia, implementen acciones para disminuir y erradicar la crisis de personas en situación de calle, en especial de niñas, niños y adolescentes, a través del diseño e implementación de programas de prevención y atención que incluyan la instalación de albergues; acceso a servicios de salud y alimentación; la reinserción laboral y social, así como campañas de sensibilización ciudadana para fortalecer la inclusión y el respeto de los derechos humanos</t>
        </is>
      </c>
      <c r="H374" t="n">
        <v>2</v>
      </c>
      <c r="I374" t="inlineStr">
        <is>
          <t>Pobreza y Política Social</t>
        </is>
      </c>
      <c r="J374" t="n">
        <v>38</v>
      </c>
      <c r="K374" t="n">
        <v>0</v>
      </c>
      <c r="L374" t="n">
        <v>0</v>
      </c>
      <c r="M374" t="n">
        <v>0</v>
      </c>
      <c r="N374">
        <f>SUM(J374:M374)</f>
        <v/>
      </c>
      <c r="O374" s="4">
        <f>SUM(J374:L374)/SUM(J374:M374)</f>
        <v/>
      </c>
      <c r="P374" s="5">
        <f>MAX(J374:L374)/SUM(J374:L374)</f>
        <v/>
      </c>
    </row>
    <row r="375">
      <c r="A375" t="inlineStr">
        <is>
          <t>Segundo año</t>
        </is>
      </c>
      <c r="B375" t="inlineStr">
        <is>
          <t>Primer periodo</t>
        </is>
      </c>
      <c r="C375" t="n">
        <v>48</v>
      </c>
      <c r="D375" t="n">
        <v>373</v>
      </c>
      <c r="E375" s="3" t="n">
        <v>45946</v>
      </c>
      <c r="F375" t="inlineStr">
        <is>
          <t>Punto de Acuerdo</t>
        </is>
      </c>
      <c r="G375" t="inlineStr">
        <is>
          <t>Acuerdo por el cual se concede licencia a la ciudadana laura artemisa garcía chávez, para separarse del cargo de diputada local de la sexagésima segunda legislatura por tiempo indefinido mayor a treinta días, a partir del dieciséis de octubre del año en curso</t>
        </is>
      </c>
      <c r="H375" t="n">
        <v>19</v>
      </c>
      <c r="I375" t="inlineStr">
        <is>
          <t>Internos del Congreso</t>
        </is>
      </c>
      <c r="J375" t="n">
        <v>38</v>
      </c>
      <c r="K375" t="n">
        <v>0</v>
      </c>
      <c r="L375" t="n">
        <v>0</v>
      </c>
      <c r="M375" t="n">
        <v>0</v>
      </c>
      <c r="N375">
        <f>SUM(J375:M375)</f>
        <v/>
      </c>
      <c r="O375" s="4">
        <f>SUM(J375:L375)/SUM(J375:M375)</f>
        <v/>
      </c>
      <c r="P375" s="5">
        <f>MAX(J375:L375)/SUM(J375:L375)</f>
        <v/>
      </c>
    </row>
    <row r="376">
      <c r="A376" t="inlineStr">
        <is>
          <t>Segundo año</t>
        </is>
      </c>
      <c r="B376" t="inlineStr">
        <is>
          <t>Primer periodo</t>
        </is>
      </c>
      <c r="C376" t="n">
        <v>49</v>
      </c>
      <c r="D376" t="n">
        <v>374</v>
      </c>
      <c r="E376" s="3" t="n">
        <v>45953</v>
      </c>
      <c r="F376" t="inlineStr">
        <is>
          <t>Punto de Acuerdo</t>
        </is>
      </c>
      <c r="G376" t="inlineStr">
        <is>
          <t>Acuerdo para la elección e integración de la Junta de Gobierno y Coordinación Política</t>
        </is>
      </c>
      <c r="H376" t="n">
        <v>19</v>
      </c>
      <c r="I376" t="inlineStr">
        <is>
          <t>Internos del Congreso</t>
        </is>
      </c>
      <c r="J376" t="n">
        <v>36</v>
      </c>
      <c r="K376" t="n">
        <v>0</v>
      </c>
      <c r="L376" t="n">
        <v>0</v>
      </c>
      <c r="M376" t="n">
        <v>5</v>
      </c>
      <c r="N376">
        <f>SUM(J376:M376)</f>
        <v/>
      </c>
      <c r="O376" s="4">
        <f>SUM(J376:L376)/SUM(J376:M376)</f>
        <v/>
      </c>
      <c r="P376" s="5">
        <f>MAX(J376:L376)/SUM(J376:L376)</f>
        <v/>
      </c>
    </row>
    <row r="377">
      <c r="A377" t="inlineStr">
        <is>
          <t>Segundo año</t>
        </is>
      </c>
      <c r="B377" t="inlineStr">
        <is>
          <t>Primer periodo</t>
        </is>
      </c>
      <c r="C377" t="n">
        <v>50</v>
      </c>
      <c r="D377" t="n">
        <v>375</v>
      </c>
      <c r="E377" s="3" t="n">
        <v>45953</v>
      </c>
      <c r="F377" t="inlineStr">
        <is>
          <t>Iniciativa</t>
        </is>
      </c>
      <c r="G377" t="inlineStr">
        <is>
          <t>Dictamen con minuta de decreto por el cual se reforman las fracciones III y IV y se adiciona la fracción V al artículo 1 de la Ley de Cultura del Estado</t>
        </is>
      </c>
      <c r="H377" t="n">
        <v>8</v>
      </c>
      <c r="I377" t="inlineStr">
        <is>
          <t>Educación y Cultura</t>
        </is>
      </c>
      <c r="J377" t="n">
        <v>38</v>
      </c>
      <c r="K377" t="n">
        <v>0</v>
      </c>
      <c r="L377" t="n">
        <v>0</v>
      </c>
      <c r="M377" t="n">
        <v>3</v>
      </c>
      <c r="N377">
        <f>SUM(J377:M377)</f>
        <v/>
      </c>
      <c r="O377" s="4">
        <f>SUM(J377:L377)/SUM(J377:M377)</f>
        <v/>
      </c>
      <c r="P377" s="5">
        <f>MAX(J377:L377)/SUM(J377:L377)</f>
        <v/>
      </c>
    </row>
    <row r="378">
      <c r="A378" t="inlineStr">
        <is>
          <t>Segundo año</t>
        </is>
      </c>
      <c r="B378" t="inlineStr">
        <is>
          <t>Primer periodo</t>
        </is>
      </c>
      <c r="C378" t="n">
        <v>51</v>
      </c>
      <c r="D378" t="n">
        <v>376</v>
      </c>
      <c r="E378" s="3" t="n">
        <v>45953</v>
      </c>
      <c r="F378" t="inlineStr">
        <is>
          <t>Punto de Acuerdo</t>
        </is>
      </c>
      <c r="G378" t="inlineStr">
        <is>
          <t>Acuerdo por el que se exhorta a la Dirección General del Registro del Estado Civil de las Personas</t>
        </is>
      </c>
      <c r="H378" t="n">
        <v>18</v>
      </c>
      <c r="I378" t="inlineStr">
        <is>
          <t>Administración Pública</t>
        </is>
      </c>
      <c r="J378" t="n">
        <v>38</v>
      </c>
      <c r="K378" t="n">
        <v>0</v>
      </c>
      <c r="L378" t="n">
        <v>0</v>
      </c>
      <c r="M378" t="n">
        <v>3</v>
      </c>
      <c r="N378">
        <f>SUM(J378:M378)</f>
        <v/>
      </c>
      <c r="O378" s="4">
        <f>SUM(J378:L378)/SUM(J378:M378)</f>
        <v/>
      </c>
      <c r="P378" s="5">
        <f>MAX(J378:L378)/SUM(J378:L378)</f>
        <v/>
      </c>
    </row>
    <row r="379">
      <c r="A379" t="inlineStr">
        <is>
          <t>Segundo año</t>
        </is>
      </c>
      <c r="B379" t="inlineStr">
        <is>
          <t>Primer periodo</t>
        </is>
      </c>
      <c r="C379" t="n">
        <v>52</v>
      </c>
      <c r="D379" t="n">
        <v>377</v>
      </c>
      <c r="E379" s="3" t="n">
        <v>45953</v>
      </c>
      <c r="F379" t="inlineStr">
        <is>
          <t>Punto de Acuerdo</t>
        </is>
      </c>
      <c r="G379" t="inlineStr">
        <is>
          <t>Acuerdo por el que se exhorta a la Procuraduría Federal del Consumidor</t>
        </is>
      </c>
      <c r="H379" t="n">
        <v>1</v>
      </c>
      <c r="I379" t="inlineStr">
        <is>
          <t>Economía, Comercio y Competitividad</t>
        </is>
      </c>
      <c r="J379" t="n">
        <v>38</v>
      </c>
      <c r="K379" t="n">
        <v>0</v>
      </c>
      <c r="L379" t="n">
        <v>0</v>
      </c>
      <c r="M379" t="n">
        <v>3</v>
      </c>
      <c r="N379">
        <f>SUM(J379:M379)</f>
        <v/>
      </c>
      <c r="O379" s="4">
        <f>SUM(J379:L379)/SUM(J379:M379)</f>
        <v/>
      </c>
      <c r="P379" s="5">
        <f>MAX(J379:L379)/SUM(J379:L379)</f>
        <v/>
      </c>
    </row>
    <row r="380">
      <c r="A380" t="inlineStr">
        <is>
          <t>Segundo año</t>
        </is>
      </c>
      <c r="B380" t="inlineStr">
        <is>
          <t>Primer periodo</t>
        </is>
      </c>
      <c r="C380" t="n">
        <v>53</v>
      </c>
      <c r="D380" t="n">
        <v>378</v>
      </c>
      <c r="E380" s="3" t="n">
        <v>45953</v>
      </c>
      <c r="F380" t="inlineStr">
        <is>
          <t>Punto de Acuerdo</t>
        </is>
      </c>
      <c r="G380" t="inlineStr">
        <is>
          <t>Acuerdo por el cual se exhorta a la Comisión de Derechos Humanos del Estado</t>
        </is>
      </c>
      <c r="H380" t="n">
        <v>14</v>
      </c>
      <c r="I380" t="inlineStr">
        <is>
          <t>Justicia y Estado de Derecho</t>
        </is>
      </c>
      <c r="J380" t="n">
        <v>38</v>
      </c>
      <c r="K380" t="n">
        <v>0</v>
      </c>
      <c r="L380" t="n">
        <v>0</v>
      </c>
      <c r="M380" t="n">
        <v>3</v>
      </c>
      <c r="N380">
        <f>SUM(J380:M380)</f>
        <v/>
      </c>
      <c r="O380" s="4">
        <f>SUM(J380:L380)/SUM(J380:M380)</f>
        <v/>
      </c>
      <c r="P380" s="5">
        <f>MAX(J380:L380)/SUM(J380:L380)</f>
        <v/>
      </c>
    </row>
    <row r="381">
      <c r="A381" t="inlineStr">
        <is>
          <t>Segundo año</t>
        </is>
      </c>
      <c r="B381" t="inlineStr">
        <is>
          <t>Primer periodo</t>
        </is>
      </c>
      <c r="C381" t="n">
        <v>54</v>
      </c>
      <c r="D381" t="n">
        <v>379</v>
      </c>
      <c r="E381" s="3" t="n">
        <v>45953</v>
      </c>
      <c r="F381" t="inlineStr">
        <is>
          <t>Punto de Acuerdo</t>
        </is>
      </c>
      <c r="G381" t="inlineStr">
        <is>
          <t>Acuerdo por el que se exhorta a la Secretaría de Desarrollo Económico y Trabajo</t>
        </is>
      </c>
      <c r="H381" t="n">
        <v>1</v>
      </c>
      <c r="I381" t="inlineStr">
        <is>
          <t>Economía, Comercio y Competitividad</t>
        </is>
      </c>
      <c r="J381" t="n">
        <v>39</v>
      </c>
      <c r="K381" t="n">
        <v>0</v>
      </c>
      <c r="L381" t="n">
        <v>0</v>
      </c>
      <c r="M381" t="n">
        <v>2</v>
      </c>
      <c r="N381">
        <f>SUM(J381:M381)</f>
        <v/>
      </c>
      <c r="O381" s="4">
        <f>SUM(J381:L381)/SUM(J381:M381)</f>
        <v/>
      </c>
      <c r="P381" s="5">
        <f>MAX(J381:L381)/SUM(J381:L381)</f>
        <v/>
      </c>
    </row>
    <row r="382">
      <c r="A382" t="inlineStr">
        <is>
          <t>Segundo año</t>
        </is>
      </c>
      <c r="B382" t="inlineStr">
        <is>
          <t>Primer periodo</t>
        </is>
      </c>
      <c r="C382" t="n">
        <v>55</v>
      </c>
      <c r="D382" t="n">
        <v>380</v>
      </c>
      <c r="E382" s="3" t="n">
        <v>45953</v>
      </c>
      <c r="F382" t="inlineStr">
        <is>
          <t>Punto de Acuerdo</t>
        </is>
      </c>
      <c r="G382" t="inlineStr">
        <is>
          <t>Acuerdo por el cual se exhorta a la Secretaría de Medio Ambiente, Desarrollo Sustentable y Ordenamiento Territorial</t>
        </is>
      </c>
      <c r="H382" t="n">
        <v>5</v>
      </c>
      <c r="I382" t="inlineStr">
        <is>
          <t>Medio Ambiente</t>
        </is>
      </c>
      <c r="J382" t="n">
        <v>39</v>
      </c>
      <c r="K382" t="n">
        <v>0</v>
      </c>
      <c r="L382" t="n">
        <v>0</v>
      </c>
      <c r="M382" t="n">
        <v>2</v>
      </c>
      <c r="N382">
        <f>SUM(J382:M382)</f>
        <v/>
      </c>
      <c r="O382" s="4">
        <f>SUM(J382:L382)/SUM(J382:M382)</f>
        <v/>
      </c>
      <c r="P382" s="5">
        <f>MAX(J382:L382)/SUM(J382:L382)</f>
        <v/>
      </c>
    </row>
    <row r="383">
      <c r="A383" t="inlineStr">
        <is>
          <t>Segundo año</t>
        </is>
      </c>
      <c r="B383" t="inlineStr">
        <is>
          <t>Primer periodo</t>
        </is>
      </c>
      <c r="C383" t="n">
        <v>56</v>
      </c>
      <c r="D383" t="n">
        <v>381</v>
      </c>
      <c r="E383" s="3" t="n">
        <v>45959</v>
      </c>
      <c r="F383" t="inlineStr">
        <is>
          <t>Punto de Acuerdo</t>
        </is>
      </c>
      <c r="G383" t="inlineStr">
        <is>
          <t>Acuerdo para la elección e integración de la sustitución de una vicepresidencia y de una secretaría de la mesa directiva en funciones</t>
        </is>
      </c>
      <c r="H383" t="n">
        <v>19</v>
      </c>
      <c r="I383" t="inlineStr">
        <is>
          <t>Internos del Congreso</t>
        </is>
      </c>
      <c r="J383" t="n">
        <v>37</v>
      </c>
      <c r="K383" t="n">
        <v>0</v>
      </c>
      <c r="L383" t="n">
        <v>0</v>
      </c>
      <c r="M383" t="n">
        <v>0</v>
      </c>
      <c r="N383">
        <f>SUM(J383:M383)</f>
        <v/>
      </c>
      <c r="O383" s="4">
        <f>SUM(J383:L383)/SUM(J383:M383)</f>
        <v/>
      </c>
      <c r="P383" s="5">
        <f>MAX(J383:L383)/SUM(J383:L383)</f>
        <v/>
      </c>
    </row>
    <row r="384">
      <c r="A384" t="inlineStr">
        <is>
          <t>Segundo año</t>
        </is>
      </c>
      <c r="B384" t="inlineStr">
        <is>
          <t>Primer periodo</t>
        </is>
      </c>
      <c r="C384" t="n">
        <v>57</v>
      </c>
      <c r="D384" t="n">
        <v>382</v>
      </c>
      <c r="E384" s="3" t="n">
        <v>45959</v>
      </c>
      <c r="F384" t="inlineStr">
        <is>
          <t>Punto de Acuerdo</t>
        </is>
      </c>
      <c r="G384" t="inlineStr">
        <is>
          <t>Acuerdo para la elección e integración de la sustitución e integración de diversas comisiones generales</t>
        </is>
      </c>
      <c r="H384" t="n">
        <v>19</v>
      </c>
      <c r="I384" t="inlineStr">
        <is>
          <t>Internos del Congreso</t>
        </is>
      </c>
      <c r="J384" t="n">
        <v>38</v>
      </c>
      <c r="K384" t="n">
        <v>0</v>
      </c>
      <c r="L384" t="n">
        <v>0</v>
      </c>
      <c r="M384" t="n">
        <v>0</v>
      </c>
      <c r="N384">
        <f>SUM(J384:M384)</f>
        <v/>
      </c>
      <c r="O384" s="4">
        <f>SUM(J384:L384)/SUM(J384:M384)</f>
        <v/>
      </c>
      <c r="P384" s="5">
        <f>MAX(J384:L384)/SUM(J384:L384)</f>
        <v/>
      </c>
    </row>
    <row r="385">
      <c r="A385" t="inlineStr">
        <is>
          <t>Segundo año</t>
        </is>
      </c>
      <c r="B385" t="inlineStr">
        <is>
          <t>Primer periodo</t>
        </is>
      </c>
      <c r="C385" t="n">
        <v>58</v>
      </c>
      <c r="D385" t="n">
        <v>383</v>
      </c>
      <c r="E385" s="3" t="n">
        <v>45959</v>
      </c>
      <c r="F385" t="inlineStr">
        <is>
          <t>Punto de Acuerdo</t>
        </is>
      </c>
      <c r="G385" t="inlineStr">
        <is>
          <t>Acuerdo que contiene la propuesta del proyecto de presupuesto de egresos del Honorable Congreso del Estado y de la Auditoría Superior del Estado</t>
        </is>
      </c>
      <c r="H385" t="n">
        <v>7</v>
      </c>
      <c r="I385" t="inlineStr">
        <is>
          <t>Impuestos, Finanzas Públicas, Patrimonio estatal y municipal</t>
        </is>
      </c>
      <c r="J385" t="n">
        <v>38</v>
      </c>
      <c r="K385" t="n">
        <v>0</v>
      </c>
      <c r="L385" t="n">
        <v>1</v>
      </c>
      <c r="M385" t="n">
        <v>0</v>
      </c>
      <c r="N385">
        <f>SUM(J385:M385)</f>
        <v/>
      </c>
      <c r="O385" s="4">
        <f>SUM(J385:L385)/SUM(J385:M385)</f>
        <v/>
      </c>
      <c r="P385" s="5">
        <f>MAX(J385:L385)/SUM(J385:L385)</f>
        <v/>
      </c>
    </row>
    <row r="386">
      <c r="A386" t="inlineStr">
        <is>
          <t>Segundo año</t>
        </is>
      </c>
      <c r="B386" t="inlineStr">
        <is>
          <t>Primer periodo</t>
        </is>
      </c>
      <c r="C386" t="n">
        <v>59</v>
      </c>
      <c r="D386" t="n">
        <v>384</v>
      </c>
      <c r="E386" s="3" t="n">
        <v>45959</v>
      </c>
      <c r="F386" t="inlineStr">
        <is>
          <t>Iniciativa</t>
        </is>
      </c>
      <c r="G386" t="inlineStr">
        <is>
          <t>Dictamen con minuta de decreto por el cual se reforman las fracciones VI y VII y se adiciona la fracción VIII al artículo 3 de la Ley de la Juventud para el Estado de Puebla</t>
        </is>
      </c>
      <c r="H386" t="n">
        <v>8</v>
      </c>
      <c r="I386" t="inlineStr">
        <is>
          <t>Educación y Cultura</t>
        </is>
      </c>
      <c r="J386" t="n">
        <v>39</v>
      </c>
      <c r="K386" t="n">
        <v>0</v>
      </c>
      <c r="L386" t="n">
        <v>0</v>
      </c>
      <c r="M386" t="n">
        <v>0</v>
      </c>
      <c r="N386">
        <f>SUM(J386:M386)</f>
        <v/>
      </c>
      <c r="O386" s="4">
        <f>SUM(J386:L386)/SUM(J386:M386)</f>
        <v/>
      </c>
      <c r="P386" s="5">
        <f>MAX(J386:L386)/SUM(J386:L386)</f>
        <v/>
      </c>
    </row>
    <row r="387">
      <c r="A387" t="inlineStr">
        <is>
          <t>Segundo año</t>
        </is>
      </c>
      <c r="B387" t="inlineStr">
        <is>
          <t>Primer periodo</t>
        </is>
      </c>
      <c r="C387" t="n">
        <v>60</v>
      </c>
      <c r="D387" t="n">
        <v>385</v>
      </c>
      <c r="E387" s="3" t="n">
        <v>45959</v>
      </c>
      <c r="F387" t="inlineStr">
        <is>
          <t>Iniciativa</t>
        </is>
      </c>
      <c r="G387" t="inlineStr">
        <is>
          <t>Dictamen con minuta de decreto por el cual se adiciona la fracción XI bis al artículo 18 de la Ley Estatal del Deporte</t>
        </is>
      </c>
      <c r="H387" t="n">
        <v>8</v>
      </c>
      <c r="I387" t="inlineStr">
        <is>
          <t>Educación y Cultura</t>
        </is>
      </c>
      <c r="J387" t="n">
        <v>39</v>
      </c>
      <c r="K387" t="n">
        <v>0</v>
      </c>
      <c r="L387" t="n">
        <v>0</v>
      </c>
      <c r="M387" t="n">
        <v>0</v>
      </c>
      <c r="N387">
        <f>SUM(J387:M387)</f>
        <v/>
      </c>
      <c r="O387" s="4">
        <f>SUM(J387:L387)/SUM(J387:M387)</f>
        <v/>
      </c>
      <c r="P387" s="5">
        <f>MAX(J387:L387)/SUM(J387:L387)</f>
        <v/>
      </c>
    </row>
    <row r="388">
      <c r="A388" t="inlineStr">
        <is>
          <t>Segundo año</t>
        </is>
      </c>
      <c r="B388" t="inlineStr">
        <is>
          <t>Primer periodo</t>
        </is>
      </c>
      <c r="C388" t="n">
        <v>61</v>
      </c>
      <c r="D388" t="n">
        <v>386</v>
      </c>
      <c r="E388" s="3" t="n">
        <v>45959</v>
      </c>
      <c r="F388" t="inlineStr">
        <is>
          <t>Punto de Acuerdo</t>
        </is>
      </c>
      <c r="G388" t="inlineStr">
        <is>
          <t>Acuerdo por el que se exhorta a la Secretaría de Gobernación del Estado para implementar programas de difusión y capacitaciones en materia de matrimonio igualitario</t>
        </is>
      </c>
      <c r="H388" t="n">
        <v>20</v>
      </c>
      <c r="I388" t="inlineStr">
        <is>
          <t>Justicia y Estado de Derecho en temas de Mujeres</t>
        </is>
      </c>
      <c r="J388" t="n">
        <v>35</v>
      </c>
      <c r="K388" t="n">
        <v>0</v>
      </c>
      <c r="L388" t="n">
        <v>4</v>
      </c>
      <c r="M388" t="n">
        <v>0</v>
      </c>
      <c r="N388">
        <f>SUM(J388:M388)</f>
        <v/>
      </c>
      <c r="O388" s="4">
        <f>SUM(J388:L388)/SUM(J388:M388)</f>
        <v/>
      </c>
      <c r="P388" s="5">
        <f>MAX(J388:L388)/SUM(J388:L388)</f>
        <v/>
      </c>
    </row>
    <row r="389">
      <c r="A389" t="inlineStr">
        <is>
          <t>Segundo año</t>
        </is>
      </c>
      <c r="B389" t="inlineStr">
        <is>
          <t>Primer periodo</t>
        </is>
      </c>
      <c r="C389" t="n">
        <v>62</v>
      </c>
      <c r="D389" t="n">
        <v>387</v>
      </c>
      <c r="E389" s="3" t="n">
        <v>45959</v>
      </c>
      <c r="F389" t="inlineStr">
        <is>
          <t>Punto de Acuerdo</t>
        </is>
      </c>
      <c r="G389" t="inlineStr">
        <is>
          <t>Acuerdo por el que se exhorta a los ayuntamientos del estado a observar principios de legalidad, honradez y rendición de cuentas</t>
        </is>
      </c>
      <c r="H389" t="n">
        <v>10</v>
      </c>
      <c r="I389" t="inlineStr">
        <is>
          <t>Transparencia y Rendición de Cuentas</t>
        </is>
      </c>
      <c r="J389" t="n">
        <v>39</v>
      </c>
      <c r="K389" t="n">
        <v>0</v>
      </c>
      <c r="L389" t="n">
        <v>0</v>
      </c>
      <c r="M389" t="n">
        <v>0</v>
      </c>
      <c r="N389">
        <f>SUM(J389:M389)</f>
        <v/>
      </c>
      <c r="O389" s="4">
        <f>SUM(J389:L389)/SUM(J389:M389)</f>
        <v/>
      </c>
      <c r="P389" s="5">
        <f>MAX(J389:L389)/SUM(J389:L389)</f>
        <v/>
      </c>
    </row>
    <row r="390">
      <c r="A390" t="inlineStr">
        <is>
          <t>Segundo año</t>
        </is>
      </c>
      <c r="B390" t="inlineStr">
        <is>
          <t>Primer periodo</t>
        </is>
      </c>
      <c r="C390" t="n">
        <v>63</v>
      </c>
      <c r="D390" t="n">
        <v>388</v>
      </c>
      <c r="E390" s="3" t="n">
        <v>45959</v>
      </c>
      <c r="F390" t="inlineStr">
        <is>
          <t>Punto de Acuerdo</t>
        </is>
      </c>
      <c r="G390" t="inlineStr">
        <is>
          <t>Acuerdo por el que se exhorta a las autoridades de seguridad pública a reforzar la prevención y combate a la incidencia delictiva</t>
        </is>
      </c>
      <c r="H390" t="n">
        <v>3</v>
      </c>
      <c r="I390" t="inlineStr">
        <is>
          <t>Seguridad Pública, Protección Civil y Narcotráfico</t>
        </is>
      </c>
      <c r="J390" t="n">
        <v>39</v>
      </c>
      <c r="K390" t="n">
        <v>0</v>
      </c>
      <c r="L390" t="n">
        <v>0</v>
      </c>
      <c r="M390" t="n">
        <v>0</v>
      </c>
      <c r="N390">
        <f>SUM(J390:M390)</f>
        <v/>
      </c>
      <c r="O390" s="4">
        <f>SUM(J390:L390)/SUM(J390:M390)</f>
        <v/>
      </c>
      <c r="P390" s="5">
        <f>MAX(J390:L390)/SUM(J390:L390)</f>
        <v/>
      </c>
    </row>
    <row r="391">
      <c r="A391" t="inlineStr">
        <is>
          <t>Segundo año</t>
        </is>
      </c>
      <c r="B391" t="inlineStr">
        <is>
          <t>Primer periodo</t>
        </is>
      </c>
      <c r="C391" t="n">
        <v>64</v>
      </c>
      <c r="D391" t="n">
        <v>389</v>
      </c>
      <c r="E391" s="3" t="n">
        <v>45959</v>
      </c>
      <c r="F391" t="inlineStr">
        <is>
          <t>Punto de Acuerdo</t>
        </is>
      </c>
      <c r="G391" t="inlineStr">
        <is>
          <t>Acuerdo por el que se exhorta a la Procuraduría Federal del Consumidor a implementar campañas informativas sobre el cobro de propinas</t>
        </is>
      </c>
      <c r="H391" t="n">
        <v>1</v>
      </c>
      <c r="I391" t="inlineStr">
        <is>
          <t>Economía, Comercio y Competitividad</t>
        </is>
      </c>
      <c r="J391" t="n">
        <v>39</v>
      </c>
      <c r="K391" t="n">
        <v>0</v>
      </c>
      <c r="L391" t="n">
        <v>0</v>
      </c>
      <c r="M391" t="n">
        <v>0</v>
      </c>
      <c r="N391">
        <f>SUM(J391:M391)</f>
        <v/>
      </c>
      <c r="O391" s="4">
        <f>SUM(J391:L391)/SUM(J391:M391)</f>
        <v/>
      </c>
      <c r="P391" s="5">
        <f>MAX(J391:L391)/SUM(J391:L391)</f>
        <v/>
      </c>
    </row>
    <row r="392">
      <c r="A392" t="inlineStr">
        <is>
          <t>Segundo año</t>
        </is>
      </c>
      <c r="B392" t="inlineStr">
        <is>
          <t>Primer periodo</t>
        </is>
      </c>
      <c r="C392" t="n">
        <v>65</v>
      </c>
      <c r="D392" t="n">
        <v>390</v>
      </c>
      <c r="E392" s="3" t="n">
        <v>45967</v>
      </c>
      <c r="F392" t="inlineStr">
        <is>
          <t>Iniciativa</t>
        </is>
      </c>
      <c r="G392" t="inlineStr">
        <is>
          <t>Dictamen con minuta de decreto por el cual se reforman los artículos 11, 14, 16, 18 fracción XIII, 21, 22 fracción III, 24 y 25 del decreto que crea el organismo público descentralizado denominado “corporación auxiliar de policía de protección ciudadana”</t>
        </is>
      </c>
      <c r="H392" t="n">
        <v>3</v>
      </c>
      <c r="I392" t="inlineStr">
        <is>
          <t>Seguridad Pública, Protección Civil y Narcotráfico</t>
        </is>
      </c>
      <c r="J392" t="n">
        <v>39</v>
      </c>
      <c r="K392" t="n">
        <v>0</v>
      </c>
      <c r="L392" t="n">
        <v>0</v>
      </c>
      <c r="M392" t="n">
        <v>2</v>
      </c>
      <c r="N392">
        <f>SUM(J392:M392)</f>
        <v/>
      </c>
      <c r="O392" s="4">
        <f>SUM(J392:L392)/SUM(J392:M392)</f>
        <v/>
      </c>
      <c r="P392" s="5">
        <f>MAX(J392:L392)/SUM(J392:L392)</f>
        <v/>
      </c>
    </row>
    <row r="393">
      <c r="A393" t="inlineStr">
        <is>
          <t>Segundo año</t>
        </is>
      </c>
      <c r="B393" t="inlineStr">
        <is>
          <t>Primer periodo</t>
        </is>
      </c>
      <c r="C393" t="n">
        <v>66</v>
      </c>
      <c r="D393" t="n">
        <v>391</v>
      </c>
      <c r="E393" s="3" t="n">
        <v>45967</v>
      </c>
      <c r="F393" t="inlineStr">
        <is>
          <t>Iniciativa</t>
        </is>
      </c>
      <c r="G393" t="inlineStr">
        <is>
          <t>Dictamen con minuta de decreto por el cual se reforman las fracciones i y vii del artículo 3, la fracción xxv del artículo 4, las fracciones ii y iii del artículo 5, las fracciones i, ii y iii del artículo 6, el segundo párrafo del artículo 8, el acápite del artículo 9, las fracciones ii, iii, v, vi, vii, xiv, xv, xviii, xix y xxii del artículo 10, el artículo 11, el acápite del artículo 12, el acápite y las fracciones i, x, xi, xix y xxi del artículo 13, las fracciones ii y iii y el último párrafo del artículo 14, el acápite y la fracción i del artículo 15, y, se derogan las fracciones iv, v, vi, vii, viii y ix del artículo 5, todos del decreto del honorable congreso del estado, por el que crea la universidad tecnológica bilingüe internacional y sustentable de</t>
        </is>
      </c>
      <c r="H393" t="n">
        <v>8</v>
      </c>
      <c r="I393" t="inlineStr">
        <is>
          <t>Educación y Cultura</t>
        </is>
      </c>
      <c r="J393" t="n">
        <v>39</v>
      </c>
      <c r="K393" t="n">
        <v>0</v>
      </c>
      <c r="L393" t="n">
        <v>0</v>
      </c>
      <c r="M393" t="n">
        <v>2</v>
      </c>
      <c r="N393">
        <f>SUM(J393:M393)</f>
        <v/>
      </c>
      <c r="O393" s="4">
        <f>SUM(J393:L393)/SUM(J393:M393)</f>
        <v/>
      </c>
      <c r="P393" s="5">
        <f>MAX(J393:L393)/SUM(J393:L393)</f>
        <v/>
      </c>
    </row>
    <row r="394">
      <c r="A394" t="inlineStr">
        <is>
          <t>Segundo año</t>
        </is>
      </c>
      <c r="B394" t="inlineStr">
        <is>
          <t>Primer periodo</t>
        </is>
      </c>
      <c r="C394" t="n">
        <v>67</v>
      </c>
      <c r="D394" t="n">
        <v>392</v>
      </c>
      <c r="E394" s="3" t="n">
        <v>45967</v>
      </c>
      <c r="F394" t="inlineStr">
        <is>
          <t>Iniciativa</t>
        </is>
      </c>
      <c r="G394" t="inlineStr">
        <is>
          <t>Dictamen con minuta de decreto por el cual se reforman la fracción v del artículo 30 y la fracción vii del apartado b del artículo 27 de la ley de seguridad privada del estado libre y soberano de</t>
        </is>
      </c>
      <c r="H394" t="n">
        <v>3</v>
      </c>
      <c r="I394" t="inlineStr">
        <is>
          <t>Seguridad Pública, Protección Civil y Narcotráfico</t>
        </is>
      </c>
      <c r="J394" t="n">
        <v>39</v>
      </c>
      <c r="K394" t="n">
        <v>0</v>
      </c>
      <c r="L394" t="n">
        <v>0</v>
      </c>
      <c r="M394" t="n">
        <v>2</v>
      </c>
      <c r="N394">
        <f>SUM(J394:M394)</f>
        <v/>
      </c>
      <c r="O394" s="4">
        <f>SUM(J394:L394)/SUM(J394:M394)</f>
        <v/>
      </c>
      <c r="P394" s="5">
        <f>MAX(J394:L394)/SUM(J394:L394)</f>
        <v/>
      </c>
    </row>
    <row r="395">
      <c r="A395" t="inlineStr">
        <is>
          <t>Segundo año</t>
        </is>
      </c>
      <c r="B395" t="inlineStr">
        <is>
          <t>Primer periodo</t>
        </is>
      </c>
      <c r="C395" t="n">
        <v>68</v>
      </c>
      <c r="D395" t="n">
        <v>393</v>
      </c>
      <c r="E395" s="3" t="n">
        <v>45967</v>
      </c>
      <c r="F395" t="inlineStr">
        <is>
          <t>Iniciativa</t>
        </is>
      </c>
      <c r="G395" t="inlineStr">
        <is>
          <t>Dictamen con minuta de decreto por el cual se autoriza al honorable ayuntamiento del municipio de zoquitlán, la enajenación bajo la figura de donación a título gratuito a favor del gobierno del estado de para la “construcción y funcionamiento de la sede en el municipio de zoquitlán, de la universidad de la salud del estado de , organismo público descentralizado del gobierno del estado de ”</t>
        </is>
      </c>
      <c r="H395" t="n">
        <v>7</v>
      </c>
      <c r="I395" t="inlineStr">
        <is>
          <t>Impuestos, Finanzas Públicas, Patrimonio estatal y municipal</t>
        </is>
      </c>
      <c r="J395" t="n">
        <v>39</v>
      </c>
      <c r="K395" t="n">
        <v>0</v>
      </c>
      <c r="L395" t="n">
        <v>0</v>
      </c>
      <c r="M395" t="n">
        <v>2</v>
      </c>
      <c r="N395">
        <f>SUM(J395:M395)</f>
        <v/>
      </c>
      <c r="O395" s="4">
        <f>SUM(J395:L395)/SUM(J395:M395)</f>
        <v/>
      </c>
      <c r="P395" s="5">
        <f>MAX(J395:L395)/SUM(J395:L395)</f>
        <v/>
      </c>
    </row>
    <row r="396">
      <c r="A396" t="inlineStr">
        <is>
          <t>Segundo año</t>
        </is>
      </c>
      <c r="B396" t="inlineStr">
        <is>
          <t>Primer periodo</t>
        </is>
      </c>
      <c r="C396" t="n">
        <v>69</v>
      </c>
      <c r="D396" t="n">
        <v>394</v>
      </c>
      <c r="E396" s="3" t="n">
        <v>45967</v>
      </c>
      <c r="F396" t="inlineStr">
        <is>
          <t>Iniciativa</t>
        </is>
      </c>
      <c r="G396" t="inlineStr">
        <is>
          <t>Dictamen con minuta de decreto por el cual se autoriza al honorable ayuntamiento del municipio de zautla, la donación a título gratuito de una superficie total de 6,685.10 metros cuadrados en dos polígonos, a favor del organismo público descentralizado de la administración pública federal no sectorizado denominado servicios de salud del “instituto mexicano del seguro social para el bienestar” (imss-bienestar), para el funcionamiento del establecimiento de salud denominado centro de salud san miguel tenextatiloyan; y a favor del gobierno del estado con destino a la secretaría de educación para el funcionamiento de la escuela seis de enero con clave de centro de trabajo 21dpr1011w</t>
        </is>
      </c>
      <c r="H396" t="n">
        <v>7</v>
      </c>
      <c r="I396" t="inlineStr">
        <is>
          <t>Impuestos, Finanzas Públicas, Patrimonio estatal y municipal</t>
        </is>
      </c>
      <c r="J396" t="n">
        <v>39</v>
      </c>
      <c r="K396" t="n">
        <v>0</v>
      </c>
      <c r="L396" t="n">
        <v>0</v>
      </c>
      <c r="M396" t="n">
        <v>2</v>
      </c>
      <c r="N396">
        <f>SUM(J396:M396)</f>
        <v/>
      </c>
      <c r="O396" s="4">
        <f>SUM(J396:L396)/SUM(J396:M396)</f>
        <v/>
      </c>
      <c r="P396" s="5">
        <f>MAX(J396:L396)/SUM(J396:L396)</f>
        <v/>
      </c>
    </row>
    <row r="397">
      <c r="A397" t="inlineStr">
        <is>
          <t>Segundo año</t>
        </is>
      </c>
      <c r="B397" t="inlineStr">
        <is>
          <t>Primer periodo</t>
        </is>
      </c>
      <c r="C397" t="n">
        <v>70</v>
      </c>
      <c r="D397" t="n">
        <v>395</v>
      </c>
      <c r="E397" s="3" t="n">
        <v>45967</v>
      </c>
      <c r="F397" t="inlineStr">
        <is>
          <t>Iniciativa</t>
        </is>
      </c>
      <c r="G397" t="inlineStr">
        <is>
          <t>Dictamen con minuta de decreto por el cual se autoriza al honorable ayuntamiento del municipio de acatzingo, a enajenar el bien inmueble de su propiedad descrito en el presente decreto, bajo la figura de donación a título gratuito a favor del gobierno federal, con destino a la secretaría de la defensa nacional para la construcción de compañías de la guardia nacional y a favor del gobierno del estado de con destino al poder judicial del estado de para la construcción de la casa de justicia en acatzingo</t>
        </is>
      </c>
      <c r="H397" t="n">
        <v>7</v>
      </c>
      <c r="I397" t="inlineStr">
        <is>
          <t>Impuestos, Finanzas Públicas, Patrimonio estatal y municipal</t>
        </is>
      </c>
      <c r="J397" t="n">
        <v>39</v>
      </c>
      <c r="K397" t="n">
        <v>0</v>
      </c>
      <c r="L397" t="n">
        <v>0</v>
      </c>
      <c r="M397" t="n">
        <v>2</v>
      </c>
      <c r="N397">
        <f>SUM(J397:M397)</f>
        <v/>
      </c>
      <c r="O397" s="4">
        <f>SUM(J397:L397)/SUM(J397:M397)</f>
        <v/>
      </c>
      <c r="P397" s="5">
        <f>MAX(J397:L397)/SUM(J397:L397)</f>
        <v/>
      </c>
    </row>
    <row r="398">
      <c r="A398" t="inlineStr">
        <is>
          <t>Segundo año</t>
        </is>
      </c>
      <c r="B398" t="inlineStr">
        <is>
          <t>Primer periodo</t>
        </is>
      </c>
      <c r="C398" t="n">
        <v>71</v>
      </c>
      <c r="D398" t="n">
        <v>396</v>
      </c>
      <c r="E398" s="3" t="n">
        <v>45967</v>
      </c>
      <c r="F398" t="inlineStr">
        <is>
          <t>Punto de Acuerdo</t>
        </is>
      </c>
      <c r="G398" t="inlineStr">
        <is>
          <t>Acuerdo por el cual la propuesta para dispensar los trámites a que se refieren los artículos 69 de la constitución política del estado libre y soberano de y 121 del reglamento interior del honorable congreso del estado libre y soberano de</t>
        </is>
      </c>
      <c r="H398" t="n">
        <v>3</v>
      </c>
      <c r="I398" t="inlineStr">
        <is>
          <t>Seguridad Pública, Protección Civil y Narcotráfico</t>
        </is>
      </c>
      <c r="J398" t="n">
        <v>5</v>
      </c>
      <c r="K398" t="n">
        <v>29</v>
      </c>
      <c r="L398" t="n">
        <v>0</v>
      </c>
      <c r="M398" t="n">
        <v>7</v>
      </c>
      <c r="N398">
        <f>SUM(J398:M398)</f>
        <v/>
      </c>
      <c r="O398" s="4">
        <f>SUM(J398:L398)/SUM(J398:M398)</f>
        <v/>
      </c>
      <c r="P398" s="5">
        <f>MAX(J398:L398)/SUM(J398:L398)</f>
        <v/>
      </c>
    </row>
    <row r="399">
      <c r="A399" t="inlineStr">
        <is>
          <t>Segundo año</t>
        </is>
      </c>
      <c r="B399" t="inlineStr">
        <is>
          <t>Primer periodo</t>
        </is>
      </c>
      <c r="C399" t="n">
        <v>72</v>
      </c>
      <c r="D399" t="n">
        <v>397</v>
      </c>
      <c r="E399" s="3" t="n">
        <v>45974</v>
      </c>
      <c r="F399" t="inlineStr">
        <is>
          <t>Iniciativa</t>
        </is>
      </c>
      <c r="G399" t="inlineStr">
        <is>
          <t>Dictamen con minuta de decreto por el cual se reforman y adicionan diversas disposiciones de la Ley para el Acceso de las Mujeres a una Vida Libre de Violencia del Estado</t>
        </is>
      </c>
      <c r="H399" t="n">
        <v>20</v>
      </c>
      <c r="I399" t="inlineStr">
        <is>
          <t>Justicia y Estado de Derecho en temas de Mujeres</t>
        </is>
      </c>
      <c r="J399" t="n">
        <v>39</v>
      </c>
      <c r="K399" t="n">
        <v>0</v>
      </c>
      <c r="L399" t="n">
        <v>0</v>
      </c>
      <c r="M399" t="n">
        <v>2</v>
      </c>
      <c r="N399">
        <f>SUM(J399:M399)</f>
        <v/>
      </c>
      <c r="O399" s="4">
        <f>SUM(J399:L399)/SUM(J399:M399)</f>
        <v/>
      </c>
      <c r="P399" s="5">
        <f>MAX(J399:L399)/SUM(J399:L399)</f>
        <v/>
      </c>
    </row>
    <row r="400">
      <c r="A400" t="inlineStr">
        <is>
          <t>Segundo año</t>
        </is>
      </c>
      <c r="B400" t="inlineStr">
        <is>
          <t>Primer periodo</t>
        </is>
      </c>
      <c r="C400" t="n">
        <v>73</v>
      </c>
      <c r="D400" t="n">
        <v>398</v>
      </c>
      <c r="E400" s="3" t="n">
        <v>45974</v>
      </c>
      <c r="F400" t="inlineStr">
        <is>
          <t>Punto de Acuerdo</t>
        </is>
      </c>
      <c r="G400" t="inlineStr">
        <is>
          <t>Acuerdo por el que se exhorta a la Secretaría de Seguridad Pública del Estado y a la Secretaría de Seguridad Ciudadana del municipio</t>
        </is>
      </c>
      <c r="H400" t="n">
        <v>3</v>
      </c>
      <c r="I400" t="inlineStr">
        <is>
          <t>Seguridad Pública, Protección Civil y Narcotráfico</t>
        </is>
      </c>
      <c r="J400" t="n">
        <v>39</v>
      </c>
      <c r="K400" t="n">
        <v>0</v>
      </c>
      <c r="L400" t="n">
        <v>0</v>
      </c>
      <c r="M400" t="n">
        <v>2</v>
      </c>
      <c r="N400">
        <f>SUM(J400:M400)</f>
        <v/>
      </c>
      <c r="O400" s="4">
        <f>SUM(J400:L400)/SUM(J400:M400)</f>
        <v/>
      </c>
      <c r="P400" s="5">
        <f>MAX(J400:L400)/SUM(J400:L400)</f>
        <v/>
      </c>
    </row>
    <row r="401">
      <c r="A401" t="inlineStr">
        <is>
          <t>Segundo año</t>
        </is>
      </c>
      <c r="B401" t="inlineStr">
        <is>
          <t>Primer periodo</t>
        </is>
      </c>
      <c r="C401" t="n">
        <v>74</v>
      </c>
      <c r="D401" t="n">
        <v>399</v>
      </c>
      <c r="E401" s="3" t="n">
        <v>45974</v>
      </c>
      <c r="F401" t="inlineStr">
        <is>
          <t>Punto de Acuerdo</t>
        </is>
      </c>
      <c r="G401" t="inlineStr">
        <is>
          <t>Acuerdo por el cual se exhorta al Tribunal Superior de Justicia del Estado</t>
        </is>
      </c>
      <c r="H401" t="n">
        <v>14</v>
      </c>
      <c r="I401" t="inlineStr">
        <is>
          <t>Justicia y Estado de Derecho</t>
        </is>
      </c>
      <c r="J401" t="n">
        <v>39</v>
      </c>
      <c r="K401" t="n">
        <v>0</v>
      </c>
      <c r="L401" t="n">
        <v>0</v>
      </c>
      <c r="M401" t="n">
        <v>2</v>
      </c>
      <c r="N401">
        <f>SUM(J401:M401)</f>
        <v/>
      </c>
      <c r="O401" s="4">
        <f>SUM(J401:L401)/SUM(J401:M401)</f>
        <v/>
      </c>
      <c r="P401" s="5">
        <f>MAX(J401:L401)/SUM(J401:L401)</f>
        <v/>
      </c>
    </row>
    <row r="402">
      <c r="A402" t="inlineStr">
        <is>
          <t>Segundo año</t>
        </is>
      </c>
      <c r="B402" t="inlineStr">
        <is>
          <t>Primer periodo</t>
        </is>
      </c>
      <c r="C402" t="n">
        <v>75</v>
      </c>
      <c r="D402" t="n">
        <v>400</v>
      </c>
      <c r="E402" s="3" t="n">
        <v>45974</v>
      </c>
      <c r="F402" t="inlineStr">
        <is>
          <t>Punto de Acuerdo</t>
        </is>
      </c>
      <c r="G402" t="inlineStr">
        <is>
          <t>Acuerdo por el cual se exhorta a los ayuntamientos de Caltepec, Chignahuapan, Chila de la Sal, Hueytamalco, Izúcar de Matamoros, Nealtican, Quimixtlán, San Diego La Mesa Tochimiltzingo, San Gabriel Chilac, San Nicolás Buenos Aires, San Salvador Huixcolotla, Santiago Miahuatlán, Xicotepec, Zacatlán, Zacapoaxtla, Zapotitlán y Zaragoza</t>
        </is>
      </c>
      <c r="H402" t="n">
        <v>18</v>
      </c>
      <c r="I402" t="inlineStr">
        <is>
          <t>Administración Pública</t>
        </is>
      </c>
      <c r="J402" t="n">
        <v>39</v>
      </c>
      <c r="K402" t="n">
        <v>0</v>
      </c>
      <c r="L402" t="n">
        <v>0</v>
      </c>
      <c r="M402" t="n">
        <v>2</v>
      </c>
      <c r="N402">
        <f>SUM(J402:M402)</f>
        <v/>
      </c>
      <c r="O402" s="4">
        <f>SUM(J402:L402)/SUM(J402:M402)</f>
        <v/>
      </c>
      <c r="P402" s="5">
        <f>MAX(J402:L402)/SUM(J402:L402)</f>
        <v/>
      </c>
    </row>
    <row r="403">
      <c r="A403" t="inlineStr">
        <is>
          <t>Segundo año</t>
        </is>
      </c>
      <c r="B403" t="inlineStr">
        <is>
          <t>Primer periodo</t>
        </is>
      </c>
      <c r="C403" t="n">
        <v>76</v>
      </c>
      <c r="D403" t="n">
        <v>401</v>
      </c>
      <c r="E403" s="3" t="n">
        <v>45974</v>
      </c>
      <c r="F403" t="inlineStr">
        <is>
          <t>Punto de Acuerdo</t>
        </is>
      </c>
      <c r="G403" t="inlineStr">
        <is>
          <t>Acuerdo por el cual se exhorta a la Fiscalía General del Estado</t>
        </is>
      </c>
      <c r="H403" t="n">
        <v>14</v>
      </c>
      <c r="I403" t="inlineStr">
        <is>
          <t>Justicia y Estado de Derecho</t>
        </is>
      </c>
      <c r="J403" t="n">
        <v>39</v>
      </c>
      <c r="K403" t="n">
        <v>0</v>
      </c>
      <c r="L403" t="n">
        <v>0</v>
      </c>
      <c r="M403" t="n">
        <v>2</v>
      </c>
      <c r="N403">
        <f>SUM(J403:M403)</f>
        <v/>
      </c>
      <c r="O403" s="4">
        <f>SUM(J403:L403)/SUM(J403:M403)</f>
        <v/>
      </c>
      <c r="P403" s="5">
        <f>MAX(J403:L403)/SUM(J403:L403)</f>
        <v/>
      </c>
    </row>
    <row r="404">
      <c r="A404" t="inlineStr">
        <is>
          <t>Segundo año</t>
        </is>
      </c>
      <c r="B404" t="inlineStr">
        <is>
          <t>Primer periodo</t>
        </is>
      </c>
      <c r="C404" t="n">
        <v>77</v>
      </c>
      <c r="D404" t="n">
        <v>402</v>
      </c>
      <c r="E404" s="3" t="n">
        <v>45974</v>
      </c>
      <c r="F404" t="inlineStr">
        <is>
          <t>Punto de Acuerdo</t>
        </is>
      </c>
      <c r="G404" t="inlineStr">
        <is>
          <t>Acuerdo por el que se propone aprobar la licencia por más de treinta días solicitada por el magistrado Fredy Erazo Juárez</t>
        </is>
      </c>
      <c r="H404" t="n">
        <v>19</v>
      </c>
      <c r="I404" t="inlineStr">
        <is>
          <t>Internos del Congreso</t>
        </is>
      </c>
      <c r="J404" t="n">
        <v>39</v>
      </c>
      <c r="K404" t="n">
        <v>0</v>
      </c>
      <c r="L404" t="n">
        <v>0</v>
      </c>
      <c r="M404" t="n">
        <v>2</v>
      </c>
      <c r="N404">
        <f>SUM(J404:M404)</f>
        <v/>
      </c>
      <c r="O404" s="4">
        <f>SUM(J404:L404)/SUM(J404:M404)</f>
        <v/>
      </c>
      <c r="P404" s="5">
        <f>MAX(J404:L404)/SUM(J404:L404)</f>
        <v/>
      </c>
    </row>
    <row r="405">
      <c r="A405" t="inlineStr">
        <is>
          <t>Segundo año</t>
        </is>
      </c>
      <c r="B405" t="inlineStr">
        <is>
          <t>Primer periodo</t>
        </is>
      </c>
      <c r="C405" t="n">
        <v>78</v>
      </c>
      <c r="D405" t="n">
        <v>403</v>
      </c>
      <c r="E405" s="3" t="n">
        <v>45981</v>
      </c>
      <c r="F405" t="inlineStr">
        <is>
          <t>Iniciativa</t>
        </is>
      </c>
      <c r="G405" t="inlineStr">
        <is>
          <t>Dictamen con minuta de decreto por el cual se expide la Ley de Presupuesto y Gasto Público Responsable del Estado de Puebla</t>
        </is>
      </c>
      <c r="H405" t="n">
        <v>7</v>
      </c>
      <c r="I405" t="inlineStr">
        <is>
          <t>Impuestos, Finanzas Públicas, Patrimonio estatal y municipal</t>
        </is>
      </c>
      <c r="J405" t="n">
        <v>34</v>
      </c>
      <c r="K405" t="n">
        <v>0</v>
      </c>
      <c r="L405" t="n">
        <v>0</v>
      </c>
      <c r="M405" t="n">
        <v>7</v>
      </c>
      <c r="N405">
        <f>SUM(J405:M405)</f>
        <v/>
      </c>
      <c r="O405" s="4">
        <f>SUM(J405:L405)/SUM(J405:M405)</f>
        <v/>
      </c>
      <c r="P405" s="5">
        <f>MAX(J405:L405)/SUM(J405:L405)</f>
        <v/>
      </c>
    </row>
    <row r="406">
      <c r="A406" t="inlineStr">
        <is>
          <t>Segundo año</t>
        </is>
      </c>
      <c r="B406" t="inlineStr">
        <is>
          <t>Primer periodo</t>
        </is>
      </c>
      <c r="C406" t="n">
        <v>79</v>
      </c>
      <c r="D406" t="n">
        <v>404</v>
      </c>
      <c r="E406" s="3" t="n">
        <v>45981</v>
      </c>
      <c r="F406" t="inlineStr">
        <is>
          <t>Iniciativa</t>
        </is>
      </c>
      <c r="G406" t="inlineStr">
        <is>
          <t>Dictamen con minuta de decreto por el cual se reforma el cuarto párrafo del artículo segundo del similar por el que se autoriza a los municipios del Estado para la contratación de financiamientos</t>
        </is>
      </c>
      <c r="H406" t="n">
        <v>7</v>
      </c>
      <c r="I406" t="inlineStr">
        <is>
          <t>Impuestos, Finanzas Públicas, Patrimonio estatal y municipal</t>
        </is>
      </c>
      <c r="J406" t="n">
        <v>34</v>
      </c>
      <c r="K406" t="n">
        <v>0</v>
      </c>
      <c r="L406" t="n">
        <v>0</v>
      </c>
      <c r="M406" t="n">
        <v>7</v>
      </c>
      <c r="N406">
        <f>SUM(J406:M406)</f>
        <v/>
      </c>
      <c r="O406" s="4">
        <f>SUM(J406:L406)/SUM(J406:M406)</f>
        <v/>
      </c>
      <c r="P406" s="5">
        <f>MAX(J406:L406)/SUM(J406:L406)</f>
        <v/>
      </c>
    </row>
    <row r="407">
      <c r="A407" t="inlineStr">
        <is>
          <t>Segundo año</t>
        </is>
      </c>
      <c r="B407" t="inlineStr">
        <is>
          <t>Primer periodo</t>
        </is>
      </c>
      <c r="C407" t="n">
        <v>80</v>
      </c>
      <c r="D407" t="n">
        <v>405</v>
      </c>
      <c r="E407" s="3" t="n">
        <v>45981</v>
      </c>
      <c r="F407" t="inlineStr">
        <is>
          <t>Iniciativa</t>
        </is>
      </c>
      <c r="G407" t="inlineStr">
        <is>
          <t>Dictamen con minuta de decreto por el cual se reforma el artículo cuarto del similar por el que se autoriza a los municipios del Estado para la contratación de financiamientos</t>
        </is>
      </c>
      <c r="H407" t="n">
        <v>7</v>
      </c>
      <c r="I407" t="inlineStr">
        <is>
          <t>Impuestos, Finanzas Públicas, Patrimonio estatal y municipal</t>
        </is>
      </c>
      <c r="J407" t="n">
        <v>35</v>
      </c>
      <c r="K407" t="n">
        <v>0</v>
      </c>
      <c r="L407" t="n">
        <v>0</v>
      </c>
      <c r="M407" t="n">
        <v>6</v>
      </c>
      <c r="N407">
        <f>SUM(J407:M407)</f>
        <v/>
      </c>
      <c r="O407" s="4">
        <f>SUM(J407:L407)/SUM(J407:M407)</f>
        <v/>
      </c>
      <c r="P407" s="5">
        <f>MAX(J407:L407)/SUM(J407:L407)</f>
        <v/>
      </c>
    </row>
    <row r="408">
      <c r="A408" t="inlineStr">
        <is>
          <t>Segundo año</t>
        </is>
      </c>
      <c r="B408" t="inlineStr">
        <is>
          <t>Primer periodo</t>
        </is>
      </c>
      <c r="C408" t="n">
        <v>81</v>
      </c>
      <c r="D408" t="n">
        <v>406</v>
      </c>
      <c r="E408" s="3" t="n">
        <v>45981</v>
      </c>
      <c r="F408" t="inlineStr">
        <is>
          <t>Punto de Acuerdo</t>
        </is>
      </c>
      <c r="G408" t="inlineStr">
        <is>
          <t>Acuerdo por el que se exhorta a la Agencia Nacional de Seguridad Industrial y de Protección al Medio Ambiente del Sector de Hidrocarburos a realizar acciones de supervisión y verificación en el río San Marcos</t>
        </is>
      </c>
      <c r="H408" t="n">
        <v>5</v>
      </c>
      <c r="I408" t="inlineStr">
        <is>
          <t>Medio Ambiente</t>
        </is>
      </c>
      <c r="J408" t="n">
        <v>35</v>
      </c>
      <c r="K408" t="n">
        <v>0</v>
      </c>
      <c r="L408" t="n">
        <v>0</v>
      </c>
      <c r="M408" t="n">
        <v>6</v>
      </c>
      <c r="N408">
        <f>SUM(J408:M408)</f>
        <v/>
      </c>
      <c r="O408" s="4">
        <f>SUM(J408:L408)/SUM(J408:M408)</f>
        <v/>
      </c>
      <c r="P408" s="5">
        <f>MAX(J408:L408)/SUM(J408:L408)</f>
        <v/>
      </c>
    </row>
    <row r="409">
      <c r="A409" t="inlineStr">
        <is>
          <t>Segundo año</t>
        </is>
      </c>
      <c r="B409" t="inlineStr">
        <is>
          <t>Primer periodo</t>
        </is>
      </c>
      <c r="C409" t="n">
        <v>82</v>
      </c>
      <c r="D409" t="n">
        <v>407</v>
      </c>
      <c r="E409" s="3" t="n">
        <v>45988</v>
      </c>
      <c r="F409" t="inlineStr">
        <is>
          <t>Iniciativa</t>
        </is>
      </c>
      <c r="G409" t="inlineStr">
        <is>
          <t>Dictamen con minuta de decreto por el cual se reforman las fracciones XI y XII, y se adiciona la fracción XIII, al artículo 191 de la Ley Orgánica Municipal</t>
        </is>
      </c>
      <c r="H409" t="n">
        <v>18</v>
      </c>
      <c r="I409" t="inlineStr">
        <is>
          <t>Administración Pública</t>
        </is>
      </c>
      <c r="J409" t="n">
        <v>39</v>
      </c>
      <c r="K409" t="n">
        <v>0</v>
      </c>
      <c r="L409" t="n">
        <v>0</v>
      </c>
      <c r="M409" t="n">
        <v>0</v>
      </c>
      <c r="N409">
        <f>SUM(J409:M409)</f>
        <v/>
      </c>
      <c r="O409" s="4">
        <f>SUM(J409:L409)/SUM(J409:M409)</f>
        <v/>
      </c>
      <c r="P409" s="5">
        <f>MAX(J409:L409)/SUM(J409:L409)</f>
        <v/>
      </c>
    </row>
    <row r="410">
      <c r="A410" t="inlineStr">
        <is>
          <t>Segundo año</t>
        </is>
      </c>
      <c r="B410" t="inlineStr">
        <is>
          <t>Primer periodo</t>
        </is>
      </c>
      <c r="C410" t="n">
        <v>83</v>
      </c>
      <c r="D410" t="n">
        <v>408</v>
      </c>
      <c r="E410" s="3" t="n">
        <v>45988</v>
      </c>
      <c r="F410" t="inlineStr">
        <is>
          <t>Iniciativa</t>
        </is>
      </c>
      <c r="G410" t="inlineStr">
        <is>
          <t>Dictamen con minuta de decreto por el cual se aprueba en lo general la Ley de Ingresos del Estado para el ejercicio fiscal 2026</t>
        </is>
      </c>
      <c r="H410" t="n">
        <v>7</v>
      </c>
      <c r="I410" t="inlineStr">
        <is>
          <t>Impuestos, Finanzas Públicas, Patrimonio estatal y municipal</t>
        </is>
      </c>
      <c r="J410" t="n">
        <v>39</v>
      </c>
      <c r="K410" t="n">
        <v>1</v>
      </c>
      <c r="L410" t="n">
        <v>0</v>
      </c>
      <c r="M410" t="n">
        <v>0</v>
      </c>
      <c r="N410">
        <f>SUM(J410:M410)</f>
        <v/>
      </c>
      <c r="O410" s="4">
        <f>SUM(J410:L410)/SUM(J410:M410)</f>
        <v/>
      </c>
      <c r="P410" s="5">
        <f>MAX(J410:L410)/SUM(J410:L410)</f>
        <v/>
      </c>
    </row>
    <row r="411">
      <c r="A411" t="inlineStr">
        <is>
          <t>Segundo año</t>
        </is>
      </c>
      <c r="B411" t="inlineStr">
        <is>
          <t>Primer periodo</t>
        </is>
      </c>
      <c r="C411" t="n">
        <v>84</v>
      </c>
      <c r="D411" t="n">
        <v>409</v>
      </c>
      <c r="E411" s="3" t="n">
        <v>45988</v>
      </c>
      <c r="F411" t="inlineStr">
        <is>
          <t>Iniciativa</t>
        </is>
      </c>
      <c r="G411" t="inlineStr">
        <is>
          <t>Dictamen con minuta de decreto por el cual se aprueba el artículo 59 del dictamen con minuta de Ley de Ingresos para el ejercicio fiscal 2026</t>
        </is>
      </c>
      <c r="H411" t="n">
        <v>7</v>
      </c>
      <c r="I411" t="inlineStr">
        <is>
          <t>Impuestos, Finanzas Públicas, Patrimonio estatal y municipal</t>
        </is>
      </c>
      <c r="J411" t="n">
        <v>34</v>
      </c>
      <c r="K411" t="n">
        <v>6</v>
      </c>
      <c r="L411" t="n">
        <v>0</v>
      </c>
      <c r="M411" t="n">
        <v>0</v>
      </c>
      <c r="N411">
        <f>SUM(J411:M411)</f>
        <v/>
      </c>
      <c r="O411" s="4">
        <f>SUM(J411:L411)/SUM(J411:M411)</f>
        <v/>
      </c>
      <c r="P411" s="5">
        <f>MAX(J411:L411)/SUM(J411:L411)</f>
        <v/>
      </c>
    </row>
    <row r="412">
      <c r="A412" t="inlineStr">
        <is>
          <t>Segundo año</t>
        </is>
      </c>
      <c r="B412" t="inlineStr">
        <is>
          <t>Primer periodo</t>
        </is>
      </c>
      <c r="C412" t="n">
        <v>85</v>
      </c>
      <c r="D412" t="n">
        <v>410</v>
      </c>
      <c r="E412" s="3" t="n">
        <v>45988</v>
      </c>
      <c r="F412" t="inlineStr">
        <is>
          <t>Iniciativa</t>
        </is>
      </c>
      <c r="G412" t="inlineStr">
        <is>
          <t>Dictamen con minuta de decreto por el cual se expiden las Leyes de Ingresos Municipales y las tablas de valores catastrales para 75 municipios</t>
        </is>
      </c>
      <c r="H412" t="n">
        <v>7</v>
      </c>
      <c r="I412" t="inlineStr">
        <is>
          <t>Impuestos, Finanzas Públicas, Patrimonio estatal y municipal</t>
        </is>
      </c>
      <c r="J412" t="n">
        <v>40</v>
      </c>
      <c r="K412" t="n">
        <v>0</v>
      </c>
      <c r="L412" t="n">
        <v>0</v>
      </c>
      <c r="M412" t="n">
        <v>0</v>
      </c>
      <c r="N412">
        <f>SUM(J412:M412)</f>
        <v/>
      </c>
      <c r="O412" s="4">
        <f>SUM(J412:L412)/SUM(J412:M412)</f>
        <v/>
      </c>
      <c r="P412" s="5">
        <f>MAX(J412:L412)/SUM(J412:L412)</f>
        <v/>
      </c>
    </row>
    <row r="413">
      <c r="A413" t="inlineStr">
        <is>
          <t>Segundo año</t>
        </is>
      </c>
      <c r="B413" t="inlineStr">
        <is>
          <t>Primer periodo</t>
        </is>
      </c>
      <c r="C413" t="n">
        <v>86</v>
      </c>
      <c r="D413" t="n">
        <v>411</v>
      </c>
      <c r="E413" s="3" t="n">
        <v>45995</v>
      </c>
      <c r="F413" t="inlineStr">
        <is>
          <t>Iniciativa</t>
        </is>
      </c>
      <c r="G413" t="inlineStr">
        <is>
          <t>Dictamen con minuta de decreto por el cual ley de egresos del estado para el ejercicio fiscal 2026</t>
        </is>
      </c>
      <c r="H413" t="n">
        <v>7</v>
      </c>
      <c r="I413" t="inlineStr">
        <is>
          <t>Impuestos, Finanzas Públicas, Patrimonio estatal y municipal</t>
        </is>
      </c>
      <c r="J413" t="n">
        <v>36</v>
      </c>
      <c r="K413" t="n">
        <v>1</v>
      </c>
      <c r="L413" t="n">
        <v>2</v>
      </c>
      <c r="M413" t="n">
        <v>2</v>
      </c>
      <c r="N413">
        <f>SUM(J413:M413)</f>
        <v/>
      </c>
      <c r="O413" s="4">
        <f>SUM(J413:L413)/SUM(J413:M413)</f>
        <v/>
      </c>
      <c r="P413" s="5">
        <f>MAX(J413:L413)/SUM(J413:L413)</f>
        <v/>
      </c>
    </row>
    <row r="414">
      <c r="A414" t="inlineStr">
        <is>
          <t>Segundo año</t>
        </is>
      </c>
      <c r="B414" t="inlineStr">
        <is>
          <t>Primer periodo</t>
        </is>
      </c>
      <c r="C414" t="n">
        <v>87</v>
      </c>
      <c r="D414" t="n">
        <v>412</v>
      </c>
      <c r="E414" s="3" t="n">
        <v>45995</v>
      </c>
      <c r="F414" t="inlineStr">
        <is>
          <t>Iniciativa</t>
        </is>
      </c>
      <c r="G414" t="inlineStr">
        <is>
          <t>Dictamen con minuta de decreto por el cual se reforman las fracciones xxiii y xxiv del artículo 11 y el 26; y se adicionan la fracción xxv al artículo 11, un inciso g) a la fracción i del 14, el 30 bis, el 30 ter y el 30 quáter de la ley de transporte del estado</t>
        </is>
      </c>
      <c r="H414" t="n">
        <v>11</v>
      </c>
      <c r="I414" t="inlineStr">
        <is>
          <t>Infraestructura, Movilidad y Transporte</t>
        </is>
      </c>
      <c r="J414" t="n">
        <v>33</v>
      </c>
      <c r="K414" t="n">
        <v>1</v>
      </c>
      <c r="L414" t="n">
        <v>5</v>
      </c>
      <c r="M414" t="n">
        <v>2</v>
      </c>
      <c r="N414">
        <f>SUM(J414:M414)</f>
        <v/>
      </c>
      <c r="O414" s="4">
        <f>SUM(J414:L414)/SUM(J414:M414)</f>
        <v/>
      </c>
      <c r="P414" s="5">
        <f>MAX(J414:L414)/SUM(J414:L414)</f>
        <v/>
      </c>
    </row>
    <row r="415">
      <c r="A415" t="inlineStr">
        <is>
          <t>Segundo año</t>
        </is>
      </c>
      <c r="B415" t="inlineStr">
        <is>
          <t>Primer periodo</t>
        </is>
      </c>
      <c r="C415" t="n">
        <v>88</v>
      </c>
      <c r="D415" t="n">
        <v>413</v>
      </c>
      <c r="E415" s="3" t="n">
        <v>45995</v>
      </c>
      <c r="F415" t="inlineStr">
        <is>
          <t>Punto de Acuerdo</t>
        </is>
      </c>
      <c r="G415" t="inlineStr">
        <is>
          <t>Acuerdo por el cual se expiden las leyes de ingresos municipales para el ejercicio fiscal 2026</t>
        </is>
      </c>
      <c r="H415" t="n">
        <v>7</v>
      </c>
      <c r="I415" t="inlineStr">
        <is>
          <t>Impuestos, Finanzas Públicas, Patrimonio estatal y municipal</t>
        </is>
      </c>
      <c r="J415" t="n">
        <v>38</v>
      </c>
      <c r="K415" t="n">
        <v>0</v>
      </c>
      <c r="L415" t="n">
        <v>1</v>
      </c>
      <c r="M415" t="n">
        <v>2</v>
      </c>
      <c r="N415">
        <f>SUM(J415:M415)</f>
        <v/>
      </c>
      <c r="O415" s="4">
        <f>SUM(J415:L415)/SUM(J415:M415)</f>
        <v/>
      </c>
      <c r="P415" s="5">
        <f>MAX(J415:L415)/SUM(J415:L415)</f>
        <v/>
      </c>
    </row>
    <row r="416">
      <c r="A416" t="inlineStr">
        <is>
          <t>Segundo año</t>
        </is>
      </c>
      <c r="B416" t="inlineStr">
        <is>
          <t>Primer periodo</t>
        </is>
      </c>
      <c r="C416" t="n">
        <v>89</v>
      </c>
      <c r="D416" t="n">
        <v>414</v>
      </c>
      <c r="E416" s="3" t="n">
        <v>45995</v>
      </c>
      <c r="F416" t="inlineStr">
        <is>
          <t>Iniciativa</t>
        </is>
      </c>
      <c r="G416" t="inlineStr">
        <is>
          <t>Dictamen con minuta de decreto por el cual se declara el 3 de abril de cada año como “día del natalicio del cadete vicente suárez, héroe de chapultepec y símbolo de valor en la defensa de la patria”</t>
        </is>
      </c>
      <c r="H416" t="n">
        <v>8</v>
      </c>
      <c r="I416" t="inlineStr">
        <is>
          <t>Educación y Cultura</t>
        </is>
      </c>
      <c r="J416" t="n">
        <v>41</v>
      </c>
      <c r="K416" t="n">
        <v>0</v>
      </c>
      <c r="L416" t="n">
        <v>0</v>
      </c>
      <c r="M416" t="n">
        <v>0</v>
      </c>
      <c r="N416">
        <f>SUM(J416:M416)</f>
        <v/>
      </c>
      <c r="O416" s="4">
        <f>SUM(J416:L416)/SUM(J416:M416)</f>
        <v/>
      </c>
      <c r="P416" s="5">
        <f>MAX(J416:L416)/SUM(J416:L416)</f>
        <v/>
      </c>
    </row>
    <row r="417">
      <c r="A417" t="inlineStr">
        <is>
          <t>Segundo año</t>
        </is>
      </c>
      <c r="B417" t="inlineStr">
        <is>
          <t>Primer periodo</t>
        </is>
      </c>
      <c r="C417" t="n">
        <v>90</v>
      </c>
      <c r="D417" t="n">
        <v>415</v>
      </c>
      <c r="E417" s="3" t="n">
        <v>45995</v>
      </c>
      <c r="F417" t="inlineStr">
        <is>
          <t>Iniciativa</t>
        </is>
      </c>
      <c r="G417" t="inlineStr">
        <is>
          <t>Dictamen con minuta de decreto por el cual se expide la ley de economía circular del estado</t>
        </is>
      </c>
      <c r="H417" t="n">
        <v>1</v>
      </c>
      <c r="I417" t="inlineStr">
        <is>
          <t>Economía, Comercio y Competitividad</t>
        </is>
      </c>
      <c r="J417" t="n">
        <v>41</v>
      </c>
      <c r="K417" t="n">
        <v>0</v>
      </c>
      <c r="L417" t="n">
        <v>0</v>
      </c>
      <c r="M417" t="n">
        <v>0</v>
      </c>
      <c r="N417">
        <f>SUM(J417:M417)</f>
        <v/>
      </c>
      <c r="O417" s="4">
        <f>SUM(J417:L417)/SUM(J417:M417)</f>
        <v/>
      </c>
      <c r="P417" s="5">
        <f>MAX(J417:L417)/SUM(J417:L417)</f>
        <v/>
      </c>
    </row>
    <row r="418">
      <c r="A418" t="inlineStr">
        <is>
          <t>Segundo año</t>
        </is>
      </c>
      <c r="B418" t="inlineStr">
        <is>
          <t>Primer periodo</t>
        </is>
      </c>
      <c r="C418" t="n">
        <v>91</v>
      </c>
      <c r="D418" t="n">
        <v>416</v>
      </c>
      <c r="E418" s="3" t="n">
        <v>45995</v>
      </c>
      <c r="F418" t="inlineStr">
        <is>
          <t>Iniciativa</t>
        </is>
      </c>
      <c r="G418" t="inlineStr">
        <is>
          <t>Dictamen con minuta de decreto por el cual análisis de 325 informes individuales de las entidades fiscalizadas del ejercicio 2023</t>
        </is>
      </c>
      <c r="H418" t="n">
        <v>10</v>
      </c>
      <c r="I418" t="inlineStr">
        <is>
          <t>Transparencia y Rendición de Cuentas</t>
        </is>
      </c>
      <c r="J418" t="n">
        <v>39</v>
      </c>
      <c r="K418" t="n">
        <v>0</v>
      </c>
      <c r="L418" t="n">
        <v>1</v>
      </c>
      <c r="M418" t="n">
        <v>1</v>
      </c>
      <c r="N418">
        <f>SUM(J418:M418)</f>
        <v/>
      </c>
      <c r="O418" s="4">
        <f>SUM(J418:L418)/SUM(J418:M418)</f>
        <v/>
      </c>
      <c r="P418" s="5">
        <f>MAX(J418:L418)/SUM(J418:L418)</f>
        <v/>
      </c>
    </row>
    <row r="419">
      <c r="A419" t="inlineStr">
        <is>
          <t>Segundo año</t>
        </is>
      </c>
      <c r="B419" t="inlineStr">
        <is>
          <t>Primer periodo</t>
        </is>
      </c>
      <c r="C419" t="n">
        <v>92</v>
      </c>
      <c r="D419" t="n">
        <v>417</v>
      </c>
      <c r="E419" s="3" t="n">
        <v>45995</v>
      </c>
      <c r="F419" t="inlineStr">
        <is>
          <t>Iniciativa</t>
        </is>
      </c>
      <c r="G419" t="inlineStr">
        <is>
          <t>Dictamen con minuta de decreto por el cual se reforma el primer párrafo de la fracción vii y sus incisos, a) primer párrafo, c) segundo párrafo y g) cuarto párrafo del artículo 12 de la constitución política del estado libre y soberano</t>
        </is>
      </c>
      <c r="H419" t="n">
        <v>18</v>
      </c>
      <c r="I419" t="inlineStr">
        <is>
          <t>Administración Pública</t>
        </is>
      </c>
      <c r="J419" t="n">
        <v>41</v>
      </c>
      <c r="K419" t="n">
        <v>0</v>
      </c>
      <c r="L419" t="n">
        <v>0</v>
      </c>
      <c r="M419" t="n">
        <v>0</v>
      </c>
      <c r="N419">
        <f>SUM(J419:M419)</f>
        <v/>
      </c>
      <c r="O419" s="4">
        <f>SUM(J419:L419)/SUM(J419:M419)</f>
        <v/>
      </c>
      <c r="P419" s="5">
        <f>MAX(J419:L419)/SUM(J419:L419)</f>
        <v/>
      </c>
    </row>
    <row r="420">
      <c r="A420" t="inlineStr">
        <is>
          <t>Segundo año</t>
        </is>
      </c>
      <c r="B420" t="inlineStr">
        <is>
          <t>Primer periodo</t>
        </is>
      </c>
      <c r="C420" t="n">
        <v>93</v>
      </c>
      <c r="D420" t="n">
        <v>418</v>
      </c>
      <c r="E420" s="3" t="n">
        <v>45995</v>
      </c>
      <c r="F420" t="inlineStr">
        <is>
          <t>Punto de Acuerdo</t>
        </is>
      </c>
      <c r="G420" t="inlineStr">
        <is>
          <t>Acuerdo por el que se exhorta al comité administrador poblano para la construcción de espacios educativos</t>
        </is>
      </c>
      <c r="H420" t="n">
        <v>8</v>
      </c>
      <c r="I420" t="inlineStr">
        <is>
          <t>Educación y Cultura</t>
        </is>
      </c>
      <c r="J420" t="n">
        <v>41</v>
      </c>
      <c r="K420" t="n">
        <v>0</v>
      </c>
      <c r="L420" t="n">
        <v>0</v>
      </c>
      <c r="M420" t="n">
        <v>0</v>
      </c>
      <c r="N420">
        <f>SUM(J420:M420)</f>
        <v/>
      </c>
      <c r="O420" s="4">
        <f>SUM(J420:L420)/SUM(J420:M420)</f>
        <v/>
      </c>
      <c r="P420" s="5">
        <f>MAX(J420:L420)/SUM(J420:L420)</f>
        <v/>
      </c>
    </row>
    <row r="421">
      <c r="A421" t="inlineStr">
        <is>
          <t>Segundo año</t>
        </is>
      </c>
      <c r="B421" t="inlineStr">
        <is>
          <t>Primer periodo</t>
        </is>
      </c>
      <c r="C421" t="n">
        <v>94</v>
      </c>
      <c r="D421" t="n">
        <v>419</v>
      </c>
      <c r="E421" s="3" t="n">
        <v>45995</v>
      </c>
      <c r="F421" t="inlineStr">
        <is>
          <t>Punto de Acuerdo</t>
        </is>
      </c>
      <c r="G421" t="inlineStr">
        <is>
          <t>Acuerdo por el que se exhorta a la persona titular del poder judicial, al poder ejecutivo, a través de la secretaría de salud, así como a los doscientos doce ayuntamientos y cinco concejos municipales del estado</t>
        </is>
      </c>
      <c r="H421" t="n">
        <v>6</v>
      </c>
      <c r="I421" t="inlineStr">
        <is>
          <t>Salud</t>
        </is>
      </c>
      <c r="J421" t="n">
        <v>41</v>
      </c>
      <c r="K421" t="n">
        <v>0</v>
      </c>
      <c r="L421" t="n">
        <v>0</v>
      </c>
      <c r="M421" t="n">
        <v>0</v>
      </c>
      <c r="N421">
        <f>SUM(J421:M421)</f>
        <v/>
      </c>
      <c r="O421" s="4">
        <f>SUM(J421:L421)/SUM(J421:M421)</f>
        <v/>
      </c>
      <c r="P421" s="5">
        <f>MAX(J421:L421)/SUM(J421:L421)</f>
        <v/>
      </c>
    </row>
    <row r="422">
      <c r="A422" t="inlineStr">
        <is>
          <t>Segundo año</t>
        </is>
      </c>
      <c r="B422" t="inlineStr">
        <is>
          <t>Primer periodo</t>
        </is>
      </c>
      <c r="C422" t="n">
        <v>95</v>
      </c>
      <c r="D422" t="n">
        <v>420</v>
      </c>
      <c r="E422" s="3" t="n">
        <v>45995</v>
      </c>
      <c r="F422" t="inlineStr">
        <is>
          <t>Punto de Acuerdo</t>
        </is>
      </c>
      <c r="G422" t="inlineStr">
        <is>
          <t>Acuerdo por el que se exhorta a la procuraduría federal del consumidor delegación</t>
        </is>
      </c>
      <c r="H422" t="n">
        <v>1</v>
      </c>
      <c r="I422" t="inlineStr">
        <is>
          <t>Economía, Comercio y Competitividad</t>
        </is>
      </c>
      <c r="J422" t="n">
        <v>41</v>
      </c>
      <c r="K422" t="n">
        <v>0</v>
      </c>
      <c r="L422" t="n">
        <v>0</v>
      </c>
      <c r="M422" t="n">
        <v>0</v>
      </c>
      <c r="N422">
        <f>SUM(J422:M422)</f>
        <v/>
      </c>
      <c r="O422" s="4">
        <f>SUM(J422:L422)/SUM(J422:M422)</f>
        <v/>
      </c>
      <c r="P422" s="5">
        <f>MAX(J422:L422)/SUM(J422:L422)</f>
        <v/>
      </c>
    </row>
    <row r="423">
      <c r="A423" t="inlineStr">
        <is>
          <t>Segundo año</t>
        </is>
      </c>
      <c r="B423" t="inlineStr">
        <is>
          <t>Primer periodo</t>
        </is>
      </c>
      <c r="C423" t="n">
        <v>96</v>
      </c>
      <c r="D423" t="n">
        <v>421</v>
      </c>
      <c r="E423" s="3" t="n">
        <v>45995</v>
      </c>
      <c r="F423" t="inlineStr">
        <is>
          <t>Punto de Acuerdo</t>
        </is>
      </c>
      <c r="G423" t="inlineStr">
        <is>
          <t>Acuerdo por el que se exhorta a la secretaría de desarrollo económico y trabajo del estado</t>
        </is>
      </c>
      <c r="H423" t="n">
        <v>16</v>
      </c>
      <c r="I423" t="inlineStr">
        <is>
          <t>Trabajo y Previsión Social</t>
        </is>
      </c>
      <c r="J423" t="n">
        <v>41</v>
      </c>
      <c r="K423" t="n">
        <v>0</v>
      </c>
      <c r="L423" t="n">
        <v>0</v>
      </c>
      <c r="M423" t="n">
        <v>0</v>
      </c>
      <c r="N423">
        <f>SUM(J423:M423)</f>
        <v/>
      </c>
      <c r="O423" s="4">
        <f>SUM(J423:L423)/SUM(J423:M423)</f>
        <v/>
      </c>
      <c r="P423" s="5">
        <f>MAX(J423:L423)/SUM(J423:L423)</f>
        <v/>
      </c>
    </row>
    <row r="424">
      <c r="A424" t="inlineStr">
        <is>
          <t>Segundo año</t>
        </is>
      </c>
      <c r="B424" t="inlineStr">
        <is>
          <t>Primer periodo</t>
        </is>
      </c>
      <c r="C424" t="n">
        <v>97</v>
      </c>
      <c r="D424" t="n">
        <v>422</v>
      </c>
      <c r="E424" s="3" t="n">
        <v>45995</v>
      </c>
      <c r="F424" t="inlineStr">
        <is>
          <t>Punto de Acuerdo</t>
        </is>
      </c>
      <c r="G424" t="inlineStr">
        <is>
          <t>Acuerdo por el cual prorrogarse la sesión hasta concluir todos los puntos del orden del día</t>
        </is>
      </c>
      <c r="H424" t="n">
        <v>19</v>
      </c>
      <c r="I424" t="inlineStr">
        <is>
          <t>Internos del Congreso</t>
        </is>
      </c>
      <c r="J424" t="n">
        <v>41</v>
      </c>
      <c r="K424" t="n">
        <v>0</v>
      </c>
      <c r="L424" t="n">
        <v>0</v>
      </c>
      <c r="M424" t="n">
        <v>0</v>
      </c>
      <c r="N424">
        <f>SUM(J424:M424)</f>
        <v/>
      </c>
      <c r="O424" s="4">
        <f>SUM(J424:L424)/SUM(J424:M424)</f>
        <v/>
      </c>
      <c r="P424" s="5">
        <f>MAX(J424:L424)/SUM(J424:L424)</f>
        <v/>
      </c>
    </row>
    <row r="425">
      <c r="A425" t="inlineStr">
        <is>
          <t>Segundo año</t>
        </is>
      </c>
      <c r="B425" t="inlineStr">
        <is>
          <t>Primer periodo</t>
        </is>
      </c>
      <c r="C425" t="n">
        <v>98</v>
      </c>
      <c r="D425" t="n">
        <v>423</v>
      </c>
      <c r="E425" s="3" t="n">
        <v>46002</v>
      </c>
      <c r="F425" t="inlineStr">
        <is>
          <t>Iniciativa</t>
        </is>
      </c>
      <c r="G425" t="inlineStr">
        <is>
          <t>Dictamen con minuta de decreto por el cual se eleva a la comunidad de Zacatlamanic, municipio de Ajalpan, Puebla, a la categoría de pueblo</t>
        </is>
      </c>
      <c r="H425" t="n">
        <v>18</v>
      </c>
      <c r="I425" t="inlineStr">
        <is>
          <t>Administración Pública</t>
        </is>
      </c>
      <c r="J425" t="n">
        <v>39</v>
      </c>
      <c r="K425" t="n">
        <v>0</v>
      </c>
      <c r="L425" t="n">
        <v>0</v>
      </c>
      <c r="M425" t="n">
        <v>2</v>
      </c>
      <c r="N425">
        <f>SUM(J425:M425)</f>
        <v/>
      </c>
      <c r="O425" s="4">
        <f>SUM(J425:L425)/SUM(J425:M425)</f>
        <v/>
      </c>
      <c r="P425" s="5">
        <f>MAX(J425:L425)/SUM(J425:L425)</f>
        <v/>
      </c>
    </row>
    <row r="426">
      <c r="A426" t="inlineStr">
        <is>
          <t>Segundo año</t>
        </is>
      </c>
      <c r="B426" t="inlineStr">
        <is>
          <t>Primer periodo</t>
        </is>
      </c>
      <c r="C426" t="n">
        <v>99</v>
      </c>
      <c r="D426" t="n">
        <v>424</v>
      </c>
      <c r="E426" s="3" t="n">
        <v>46002</v>
      </c>
      <c r="F426" t="inlineStr">
        <is>
          <t>Iniciativa</t>
        </is>
      </c>
      <c r="G426" t="inlineStr">
        <is>
          <t>Dictamen con minuta de decreto por el cual se expiden las leyes de ingresos municipales para el ejercicio fiscal 2026</t>
        </is>
      </c>
      <c r="H426" t="n">
        <v>7</v>
      </c>
      <c r="I426" t="inlineStr">
        <is>
          <t>Impuestos, Finanzas Públicas, Patrimonio estatal y municipal</t>
        </is>
      </c>
      <c r="J426" t="n">
        <v>38</v>
      </c>
      <c r="K426" t="n">
        <v>0</v>
      </c>
      <c r="L426" t="n">
        <v>1</v>
      </c>
      <c r="M426" t="n">
        <v>2</v>
      </c>
      <c r="N426">
        <f>SUM(J426:M426)</f>
        <v/>
      </c>
      <c r="O426" s="4">
        <f>SUM(J426:L426)/SUM(J426:M426)</f>
        <v/>
      </c>
      <c r="P426" s="5">
        <f>MAX(J426:L426)/SUM(J426:L426)</f>
        <v/>
      </c>
    </row>
    <row r="427">
      <c r="A427" t="inlineStr">
        <is>
          <t>Segundo año</t>
        </is>
      </c>
      <c r="B427" t="inlineStr">
        <is>
          <t>Primer periodo</t>
        </is>
      </c>
      <c r="C427" t="n">
        <v>100</v>
      </c>
      <c r="D427" t="n">
        <v>425</v>
      </c>
      <c r="E427" s="3" t="n">
        <v>46002</v>
      </c>
      <c r="F427" t="inlineStr">
        <is>
          <t>Iniciativa</t>
        </is>
      </c>
      <c r="G427" t="inlineStr">
        <is>
          <t>Dictamen con minuta de decreto por el cual se reforman las fracciones VI, VII y se adiciona la fracción VIII al artículo 66 de la Ley del Sistema Estatal de Protección Civil</t>
        </is>
      </c>
      <c r="H427" t="n">
        <v>3</v>
      </c>
      <c r="I427" t="inlineStr">
        <is>
          <t>Seguridad Pública, Protección Civil y Narcotráfico</t>
        </is>
      </c>
      <c r="J427" t="n">
        <v>40</v>
      </c>
      <c r="K427" t="n">
        <v>0</v>
      </c>
      <c r="L427" t="n">
        <v>0</v>
      </c>
      <c r="M427" t="n">
        <v>1</v>
      </c>
      <c r="N427">
        <f>SUM(J427:M427)</f>
        <v/>
      </c>
      <c r="O427" s="4">
        <f>SUM(J427:L427)/SUM(J427:M427)</f>
        <v/>
      </c>
      <c r="P427" s="5">
        <f>MAX(J427:L427)/SUM(J427:L427)</f>
        <v/>
      </c>
    </row>
    <row r="428">
      <c r="A428" t="inlineStr">
        <is>
          <t>Segundo año</t>
        </is>
      </c>
      <c r="B428" t="inlineStr">
        <is>
          <t>Primer periodo</t>
        </is>
      </c>
      <c r="C428" t="n">
        <v>101</v>
      </c>
      <c r="D428" t="n">
        <v>426</v>
      </c>
      <c r="E428" s="3" t="n">
        <v>46002</v>
      </c>
      <c r="F428" t="inlineStr">
        <is>
          <t>Iniciativa</t>
        </is>
      </c>
      <c r="G428" t="inlineStr">
        <is>
          <t>Dictamen con minuta de decreto por el cual se autoriza la inscripción en el Muro de Honor del Salón de Pleno del Congreso del Estado de la leyenda: “A las mujeres indígenas y afromexicanas del estado de Puebla”</t>
        </is>
      </c>
      <c r="H428" t="n">
        <v>8</v>
      </c>
      <c r="I428" t="inlineStr">
        <is>
          <t>Educación y Cultura</t>
        </is>
      </c>
      <c r="J428" t="n">
        <v>40</v>
      </c>
      <c r="K428" t="n">
        <v>0</v>
      </c>
      <c r="L428" t="n">
        <v>0</v>
      </c>
      <c r="M428" t="n">
        <v>1</v>
      </c>
      <c r="N428">
        <f>SUM(J428:M428)</f>
        <v/>
      </c>
      <c r="O428" s="4">
        <f>SUM(J428:L428)/SUM(J428:M428)</f>
        <v/>
      </c>
      <c r="P428" s="5">
        <f>MAX(J428:L428)/SUM(J428:L428)</f>
        <v/>
      </c>
    </row>
    <row r="429">
      <c r="A429" t="inlineStr">
        <is>
          <t>Segundo año</t>
        </is>
      </c>
      <c r="B429" t="inlineStr">
        <is>
          <t>Primer periodo</t>
        </is>
      </c>
      <c r="C429" t="n">
        <v>102</v>
      </c>
      <c r="D429" t="n">
        <v>427</v>
      </c>
      <c r="E429" s="3" t="n">
        <v>46002</v>
      </c>
      <c r="F429" t="inlineStr">
        <is>
          <t>Punto de Acuerdo</t>
        </is>
      </c>
      <c r="G429" t="inlineStr">
        <is>
          <t>Acuerdo por el que se exhorta a la Comisión Nacional del Agua, para que, en el ámbito de su competencia, revise la situación de los mantos acuíferos de diversos municipios</t>
        </is>
      </c>
      <c r="H429" t="n">
        <v>5</v>
      </c>
      <c r="I429" t="inlineStr">
        <is>
          <t>Medio Ambiente</t>
        </is>
      </c>
      <c r="J429" t="n">
        <v>40</v>
      </c>
      <c r="K429" t="n">
        <v>0</v>
      </c>
      <c r="L429" t="n">
        <v>0</v>
      </c>
      <c r="M429" t="n">
        <v>1</v>
      </c>
      <c r="N429">
        <f>SUM(J429:M429)</f>
        <v/>
      </c>
      <c r="O429" s="4">
        <f>SUM(J429:L429)/SUM(J429:M429)</f>
        <v/>
      </c>
      <c r="P429" s="5">
        <f>MAX(J429:L429)/SUM(J429:L429)</f>
        <v/>
      </c>
    </row>
    <row r="430">
      <c r="A430" t="inlineStr">
        <is>
          <t>Segundo año</t>
        </is>
      </c>
      <c r="B430" t="inlineStr">
        <is>
          <t>Primer periodo</t>
        </is>
      </c>
      <c r="C430" t="n">
        <v>103</v>
      </c>
      <c r="D430" t="n">
        <v>428</v>
      </c>
      <c r="E430" s="3" t="n">
        <v>46002</v>
      </c>
      <c r="F430" t="inlineStr">
        <is>
          <t>Punto de Acuerdo</t>
        </is>
      </c>
      <c r="G430" t="inlineStr">
        <is>
          <t>Acuerdo por el que se exhorta a diversas autoridades estatales y municipales para que promuevan la atención preferencial, ágil y simplificada de las personas adultas mayores y personas con discapacidad</t>
        </is>
      </c>
      <c r="H430" t="n">
        <v>2</v>
      </c>
      <c r="I430" t="inlineStr">
        <is>
          <t>Pobreza y Política Social</t>
        </is>
      </c>
      <c r="J430" t="n">
        <v>40</v>
      </c>
      <c r="K430" t="n">
        <v>0</v>
      </c>
      <c r="L430" t="n">
        <v>0</v>
      </c>
      <c r="M430" t="n">
        <v>1</v>
      </c>
      <c r="N430">
        <f>SUM(J430:M430)</f>
        <v/>
      </c>
      <c r="O430" s="4">
        <f>SUM(J430:L430)/SUM(J430:M430)</f>
        <v/>
      </c>
      <c r="P430" s="5">
        <f>MAX(J430:L430)/SUM(J430:L430)</f>
        <v/>
      </c>
    </row>
    <row r="431">
      <c r="A431" t="inlineStr">
        <is>
          <t>Segundo año</t>
        </is>
      </c>
      <c r="B431" t="inlineStr">
        <is>
          <t>Primer periodo</t>
        </is>
      </c>
      <c r="C431" t="n">
        <v>104</v>
      </c>
      <c r="D431" t="n">
        <v>429</v>
      </c>
      <c r="E431" s="3" t="n">
        <v>46002</v>
      </c>
      <c r="F431" t="inlineStr">
        <is>
          <t>Punto de Acuerdo</t>
        </is>
      </c>
      <c r="G431" t="inlineStr">
        <is>
          <t>Acuerdo por el que se exhorta a la Secretaría de Salud y a la Secretaría de Educación Pública del estado a implementar campañas de difusión y servicios de salud sexual y reproductiva</t>
        </is>
      </c>
      <c r="H431" t="n">
        <v>6</v>
      </c>
      <c r="I431" t="inlineStr">
        <is>
          <t>Salud</t>
        </is>
      </c>
      <c r="J431" t="n">
        <v>35</v>
      </c>
      <c r="K431" t="n">
        <v>0</v>
      </c>
      <c r="L431" t="n">
        <v>5</v>
      </c>
      <c r="M431" t="n">
        <v>1</v>
      </c>
      <c r="N431">
        <f>SUM(J431:M431)</f>
        <v/>
      </c>
      <c r="O431" s="4">
        <f>SUM(J431:L431)/SUM(J431:M431)</f>
        <v/>
      </c>
      <c r="P431" s="5">
        <f>MAX(J431:L431)/SUM(J431:L431)</f>
        <v/>
      </c>
    </row>
    <row r="432">
      <c r="A432" t="inlineStr">
        <is>
          <t>Segundo año</t>
        </is>
      </c>
      <c r="B432" t="inlineStr">
        <is>
          <t>Primer periodo</t>
        </is>
      </c>
      <c r="C432" t="n">
        <v>105</v>
      </c>
      <c r="D432" t="n">
        <v>430</v>
      </c>
      <c r="E432" s="3" t="n">
        <v>46002</v>
      </c>
      <c r="F432" t="inlineStr">
        <is>
          <t>Punto de Acuerdo</t>
        </is>
      </c>
      <c r="G432" t="inlineStr">
        <is>
          <t>Acuerdo por el que se exhorta al organismo público descentralizado “Carreteras de Cuota Puebla” a analizar la factibilidad de condonación del cobro de peaje en la “Caseta Mazapiltepec”</t>
        </is>
      </c>
      <c r="H432" t="n">
        <v>11</v>
      </c>
      <c r="I432" t="inlineStr">
        <is>
          <t>Infraestructura, Movilidad y Transporte</t>
        </is>
      </c>
      <c r="J432" t="n">
        <v>40</v>
      </c>
      <c r="K432" t="n">
        <v>0</v>
      </c>
      <c r="L432" t="n">
        <v>0</v>
      </c>
      <c r="M432" t="n">
        <v>1</v>
      </c>
      <c r="N432">
        <f>SUM(J432:M432)</f>
        <v/>
      </c>
      <c r="O432" s="4">
        <f>SUM(J432:L432)/SUM(J432:M432)</f>
        <v/>
      </c>
      <c r="P432" s="5">
        <f>MAX(J432:L432)/SUM(J432:L432)</f>
        <v/>
      </c>
    </row>
    <row r="433">
      <c r="A433" t="inlineStr">
        <is>
          <t>Segundo año</t>
        </is>
      </c>
      <c r="B433" t="inlineStr">
        <is>
          <t>Primer periodo</t>
        </is>
      </c>
      <c r="C433" t="n">
        <v>106</v>
      </c>
      <c r="D433" t="n">
        <v>431</v>
      </c>
      <c r="E433" s="3" t="n">
        <v>46002</v>
      </c>
      <c r="F433" t="inlineStr">
        <is>
          <t>Punto de Acuerdo</t>
        </is>
      </c>
      <c r="G433" t="inlineStr">
        <is>
          <t>Acuerdo por el que se exhorta a la Secretaría de Movilidad y Transporte del estado a implementar estrategias y campañas sobre los derechos y obligaciones de las personas usuarias</t>
        </is>
      </c>
      <c r="H433" t="n">
        <v>11</v>
      </c>
      <c r="I433" t="inlineStr">
        <is>
          <t>Infraestructura, Movilidad y Transporte</t>
        </is>
      </c>
      <c r="J433" t="n">
        <v>40</v>
      </c>
      <c r="K433" t="n">
        <v>0</v>
      </c>
      <c r="L433" t="n">
        <v>0</v>
      </c>
      <c r="M433" t="n">
        <v>1</v>
      </c>
      <c r="N433">
        <f>SUM(J433:M433)</f>
        <v/>
      </c>
      <c r="O433" s="4">
        <f>SUM(J433:L433)/SUM(J433:M433)</f>
        <v/>
      </c>
      <c r="P433" s="5">
        <f>MAX(J433:L433)/SUM(J433:L433)</f>
        <v/>
      </c>
    </row>
    <row r="434">
      <c r="A434" t="inlineStr">
        <is>
          <t>Segundo año</t>
        </is>
      </c>
      <c r="B434" t="inlineStr">
        <is>
          <t>Primer periodo</t>
        </is>
      </c>
      <c r="C434" t="n">
        <v>107</v>
      </c>
      <c r="D434" t="n">
        <v>432</v>
      </c>
      <c r="E434" s="3" t="n">
        <v>46002</v>
      </c>
      <c r="F434" t="inlineStr">
        <is>
          <t>Punto de Acuerdo</t>
        </is>
      </c>
      <c r="G434" t="inlineStr">
        <is>
          <t>Acuerdo por el que se exhorta a la Secretaría de Movilidad y Transporte del estado a supervisar la prestación del servicio ejecutivo de transporte</t>
        </is>
      </c>
      <c r="H434" t="n">
        <v>11</v>
      </c>
      <c r="I434" t="inlineStr">
        <is>
          <t>Infraestructura, Movilidad y Transporte</t>
        </is>
      </c>
      <c r="J434" t="n">
        <v>40</v>
      </c>
      <c r="K434" t="n">
        <v>0</v>
      </c>
      <c r="L434" t="n">
        <v>0</v>
      </c>
      <c r="M434" t="n">
        <v>1</v>
      </c>
      <c r="N434">
        <f>SUM(J434:M434)</f>
        <v/>
      </c>
      <c r="O434" s="4">
        <f>SUM(J434:L434)/SUM(J434:M434)</f>
        <v/>
      </c>
      <c r="P434" s="5">
        <f>MAX(J434:L434)/SUM(J434:L434)</f>
        <v/>
      </c>
    </row>
    <row r="435">
      <c r="A435" t="inlineStr">
        <is>
          <t>Segundo año</t>
        </is>
      </c>
      <c r="B435" t="inlineStr">
        <is>
          <t>Primer periodo</t>
        </is>
      </c>
      <c r="C435" t="n">
        <v>108</v>
      </c>
      <c r="D435" t="n">
        <v>433</v>
      </c>
      <c r="E435" s="3" t="n">
        <v>46002</v>
      </c>
      <c r="F435" t="inlineStr">
        <is>
          <t>Punto de Acuerdo</t>
        </is>
      </c>
      <c r="G435" t="inlineStr">
        <is>
          <t>Acuerdo por el que se exhorta a los ayuntamientos a difundir acciones para concientizar a la sociedad sobre la conducción responsable</t>
        </is>
      </c>
      <c r="H435" t="n">
        <v>11</v>
      </c>
      <c r="I435" t="inlineStr">
        <is>
          <t>Infraestructura, Movilidad y Transporte</t>
        </is>
      </c>
      <c r="J435" t="n">
        <v>40</v>
      </c>
      <c r="K435" t="n">
        <v>0</v>
      </c>
      <c r="L435" t="n">
        <v>0</v>
      </c>
      <c r="M435" t="n">
        <v>1</v>
      </c>
      <c r="N435">
        <f>SUM(J435:M435)</f>
        <v/>
      </c>
      <c r="O435" s="4">
        <f>SUM(J435:L435)/SUM(J435:M435)</f>
        <v/>
      </c>
      <c r="P435" s="5">
        <f>MAX(J435:L435)/SUM(J435:L435)</f>
        <v/>
      </c>
    </row>
    <row r="436">
      <c r="A436" t="inlineStr">
        <is>
          <t>Segundo año</t>
        </is>
      </c>
      <c r="B436" t="inlineStr">
        <is>
          <t>Primer periodo</t>
        </is>
      </c>
      <c r="C436" t="n">
        <v>109</v>
      </c>
      <c r="D436" t="n">
        <v>434</v>
      </c>
      <c r="E436" s="3" t="n">
        <v>46002</v>
      </c>
      <c r="F436" t="inlineStr">
        <is>
          <t>Punto de Acuerdo</t>
        </is>
      </c>
      <c r="G436" t="inlineStr">
        <is>
          <t>Acuerdo por el que se exhorta a la Secretaría de Educación Pública y de Salud a diseñar e implementar campañas sobre la prevención, detección y efectos de la diabetes</t>
        </is>
      </c>
      <c r="H436" t="n">
        <v>6</v>
      </c>
      <c r="I436" t="inlineStr">
        <is>
          <t>Salud</t>
        </is>
      </c>
      <c r="J436" t="n">
        <v>40</v>
      </c>
      <c r="K436" t="n">
        <v>0</v>
      </c>
      <c r="L436" t="n">
        <v>0</v>
      </c>
      <c r="M436" t="n">
        <v>1</v>
      </c>
      <c r="N436">
        <f>SUM(J436:M436)</f>
        <v/>
      </c>
      <c r="O436" s="4">
        <f>SUM(J436:L436)/SUM(J436:M436)</f>
        <v/>
      </c>
      <c r="P436" s="5">
        <f>MAX(J436:L436)/SUM(J436:L436)</f>
        <v/>
      </c>
    </row>
    <row r="437">
      <c r="A437" t="inlineStr">
        <is>
          <t>Segundo año</t>
        </is>
      </c>
      <c r="B437" t="inlineStr">
        <is>
          <t>Primer periodo</t>
        </is>
      </c>
      <c r="C437" t="n">
        <v>110</v>
      </c>
      <c r="D437" t="n">
        <v>435</v>
      </c>
      <c r="E437" s="3" t="n">
        <v>46002</v>
      </c>
      <c r="F437" t="inlineStr">
        <is>
          <t>Punto de Acuerdo</t>
        </is>
      </c>
      <c r="G437" t="inlineStr">
        <is>
          <t>Acuerdo por el que se exhorta a los ayuntamientos a promover la marca “Cinco de Mayo”</t>
        </is>
      </c>
      <c r="H437" t="n">
        <v>1</v>
      </c>
      <c r="I437" t="inlineStr">
        <is>
          <t>Economía, Comercio y Competitividad</t>
        </is>
      </c>
      <c r="J437" t="n">
        <v>40</v>
      </c>
      <c r="K437" t="n">
        <v>0</v>
      </c>
      <c r="L437" t="n">
        <v>0</v>
      </c>
      <c r="M437" t="n">
        <v>1</v>
      </c>
      <c r="N437">
        <f>SUM(J437:M437)</f>
        <v/>
      </c>
      <c r="O437" s="4">
        <f>SUM(J437:L437)/SUM(J437:M437)</f>
        <v/>
      </c>
      <c r="P437" s="5">
        <f>MAX(J437:L437)/SUM(J437:L437)</f>
        <v/>
      </c>
    </row>
    <row r="438">
      <c r="A438" t="inlineStr">
        <is>
          <t>Segundo año</t>
        </is>
      </c>
      <c r="B438" t="inlineStr">
        <is>
          <t>Primer periodo</t>
        </is>
      </c>
      <c r="C438" t="n">
        <v>111</v>
      </c>
      <c r="D438" t="n">
        <v>436</v>
      </c>
      <c r="E438" s="3" t="n">
        <v>46002</v>
      </c>
      <c r="F438" t="inlineStr">
        <is>
          <t>Punto de Acuerdo</t>
        </is>
      </c>
      <c r="G438" t="inlineStr">
        <is>
          <t>Acuerdo por el que se exhorta a diversas secretarías estatales y ayuntamientos a impulsar programas de apoyo para madres autónomas</t>
        </is>
      </c>
      <c r="H438" t="n">
        <v>2</v>
      </c>
      <c r="I438" t="inlineStr">
        <is>
          <t>Pobreza y Política Social</t>
        </is>
      </c>
      <c r="J438" t="n">
        <v>40</v>
      </c>
      <c r="K438" t="n">
        <v>0</v>
      </c>
      <c r="L438" t="n">
        <v>0</v>
      </c>
      <c r="M438" t="n">
        <v>1</v>
      </c>
      <c r="N438">
        <f>SUM(J438:M438)</f>
        <v/>
      </c>
      <c r="O438" s="4">
        <f>SUM(J438:L438)/SUM(J438:M438)</f>
        <v/>
      </c>
      <c r="P438" s="5">
        <f>MAX(J438:L438)/SUM(J438:L438)</f>
        <v/>
      </c>
    </row>
    <row r="439">
      <c r="A439" t="inlineStr">
        <is>
          <t>Segundo año</t>
        </is>
      </c>
      <c r="B439" t="inlineStr">
        <is>
          <t>Primer periodo</t>
        </is>
      </c>
      <c r="C439" t="n">
        <v>112</v>
      </c>
      <c r="D439" t="n">
        <v>437</v>
      </c>
      <c r="E439" s="3" t="n">
        <v>46002</v>
      </c>
      <c r="F439" t="inlineStr">
        <is>
          <t>Punto de Acuerdo</t>
        </is>
      </c>
      <c r="G439" t="inlineStr">
        <is>
          <t>Acuerdo por el que se exhorta a diversas secretarías y municipios a implementar una estrategia de difusión y promoción turística para los tianguis</t>
        </is>
      </c>
      <c r="H439" t="n">
        <v>1</v>
      </c>
      <c r="I439" t="inlineStr">
        <is>
          <t>Economía, Comercio y Competitividad</t>
        </is>
      </c>
      <c r="J439" t="n">
        <v>40</v>
      </c>
      <c r="K439" t="n">
        <v>0</v>
      </c>
      <c r="L439" t="n">
        <v>0</v>
      </c>
      <c r="M439" t="n">
        <v>1</v>
      </c>
      <c r="N439">
        <f>SUM(J439:M439)</f>
        <v/>
      </c>
      <c r="O439" s="4">
        <f>SUM(J439:L439)/SUM(J439:M439)</f>
        <v/>
      </c>
      <c r="P439" s="5">
        <f>MAX(J439:L439)/SUM(J439:L439)</f>
        <v/>
      </c>
    </row>
    <row r="440">
      <c r="A440" t="inlineStr">
        <is>
          <t>Segundo año</t>
        </is>
      </c>
      <c r="B440" t="inlineStr">
        <is>
          <t>Primer periodo</t>
        </is>
      </c>
      <c r="C440" t="n">
        <v>113</v>
      </c>
      <c r="D440" t="n">
        <v>438</v>
      </c>
      <c r="E440" s="3" t="n">
        <v>46002</v>
      </c>
      <c r="F440" t="inlineStr">
        <is>
          <t>Punto de Acuerdo</t>
        </is>
      </c>
      <c r="G440" t="inlineStr">
        <is>
          <t>Acuerdo por el que se exhorta a diversas secretarías a diseñar y fortalecer acciones contra el uso de sustancias prohibidas y dopaje en el deporte</t>
        </is>
      </c>
      <c r="H440" t="n">
        <v>6</v>
      </c>
      <c r="I440" t="inlineStr">
        <is>
          <t>Salud</t>
        </is>
      </c>
      <c r="J440" t="n">
        <v>40</v>
      </c>
      <c r="K440" t="n">
        <v>0</v>
      </c>
      <c r="L440" t="n">
        <v>0</v>
      </c>
      <c r="M440" t="n">
        <v>1</v>
      </c>
      <c r="N440">
        <f>SUM(J440:M440)</f>
        <v/>
      </c>
      <c r="O440" s="4">
        <f>SUM(J440:L440)/SUM(J440:M440)</f>
        <v/>
      </c>
      <c r="P440" s="5">
        <f>MAX(J440:L440)/SUM(J440:L440)</f>
        <v/>
      </c>
    </row>
    <row r="441">
      <c r="A441" t="inlineStr">
        <is>
          <t>Segundo año</t>
        </is>
      </c>
      <c r="B441" t="inlineStr">
        <is>
          <t>Primer periodo</t>
        </is>
      </c>
      <c r="C441" t="n">
        <v>114</v>
      </c>
      <c r="D441" t="n">
        <v>439</v>
      </c>
      <c r="E441" s="3" t="n">
        <v>46002</v>
      </c>
      <c r="F441" t="inlineStr">
        <is>
          <t>Punto de Acuerdo</t>
        </is>
      </c>
      <c r="G441" t="inlineStr">
        <is>
          <t>Acuerdo por el que se exhorta a los ayuntamientos a diseñar acciones para el resguardo y adopción de perros y animales en situación de calle</t>
        </is>
      </c>
      <c r="H441" t="n">
        <v>5</v>
      </c>
      <c r="I441" t="inlineStr">
        <is>
          <t>Medio Ambiente</t>
        </is>
      </c>
      <c r="J441" t="n">
        <v>40</v>
      </c>
      <c r="K441" t="n">
        <v>0</v>
      </c>
      <c r="L441" t="n">
        <v>0</v>
      </c>
      <c r="M441" t="n">
        <v>1</v>
      </c>
      <c r="N441">
        <f>SUM(J441:M441)</f>
        <v/>
      </c>
      <c r="O441" s="4">
        <f>SUM(J441:L441)/SUM(J441:M441)</f>
        <v/>
      </c>
      <c r="P441" s="5">
        <f>MAX(J441:L441)/SUM(J441:L441)</f>
        <v/>
      </c>
    </row>
    <row r="442">
      <c r="A442" t="inlineStr">
        <is>
          <t>Segundo año</t>
        </is>
      </c>
      <c r="B442" t="inlineStr">
        <is>
          <t>Primer periodo</t>
        </is>
      </c>
      <c r="C442" t="n">
        <v>115</v>
      </c>
      <c r="D442" t="n">
        <v>440</v>
      </c>
      <c r="E442" s="3" t="n">
        <v>46002</v>
      </c>
      <c r="F442" t="inlineStr">
        <is>
          <t>Punto de Acuerdo</t>
        </is>
      </c>
      <c r="G442" t="inlineStr">
        <is>
          <t>Acuerdo por el que se exhorta a los ayuntamientos a realizar el mantenimiento y mejora de las bibliotecas públicas</t>
        </is>
      </c>
      <c r="H442" t="n">
        <v>8</v>
      </c>
      <c r="I442" t="inlineStr">
        <is>
          <t>Educación y Cultura</t>
        </is>
      </c>
      <c r="J442" t="n">
        <v>40</v>
      </c>
      <c r="K442" t="n">
        <v>0</v>
      </c>
      <c r="L442" t="n">
        <v>0</v>
      </c>
      <c r="M442" t="n">
        <v>1</v>
      </c>
      <c r="N442">
        <f>SUM(J442:M442)</f>
        <v/>
      </c>
      <c r="O442" s="4">
        <f>SUM(J442:L442)/SUM(J442:M442)</f>
        <v/>
      </c>
      <c r="P442" s="5">
        <f>MAX(J442:L442)/SUM(J442:L442)</f>
        <v/>
      </c>
    </row>
    <row r="443">
      <c r="A443" t="inlineStr">
        <is>
          <t>Segundo año</t>
        </is>
      </c>
      <c r="B443" t="inlineStr">
        <is>
          <t>Primer periodo</t>
        </is>
      </c>
      <c r="C443" t="n">
        <v>116</v>
      </c>
      <c r="D443" t="n">
        <v>441</v>
      </c>
      <c r="E443" s="3" t="n">
        <v>46002</v>
      </c>
      <c r="F443" t="inlineStr">
        <is>
          <t>Punto de Acuerdo</t>
        </is>
      </c>
      <c r="G443" t="inlineStr">
        <is>
          <t>Acuerdo por el que se exhorta a los ayuntamientos a habilitar albergues temporales para personas en situación de calle durante la temporada invernal</t>
        </is>
      </c>
      <c r="H443" t="n">
        <v>2</v>
      </c>
      <c r="I443" t="inlineStr">
        <is>
          <t>Pobreza y Política Social</t>
        </is>
      </c>
      <c r="J443" t="n">
        <v>40</v>
      </c>
      <c r="K443" t="n">
        <v>0</v>
      </c>
      <c r="L443" t="n">
        <v>0</v>
      </c>
      <c r="M443" t="n">
        <v>1</v>
      </c>
      <c r="N443">
        <f>SUM(J443:M443)</f>
        <v/>
      </c>
      <c r="O443" s="4">
        <f>SUM(J443:L443)/SUM(J443:M443)</f>
        <v/>
      </c>
      <c r="P443" s="5">
        <f>MAX(J443:L443)/SUM(J443:L443)</f>
        <v/>
      </c>
    </row>
    <row r="444">
      <c r="A444" t="inlineStr">
        <is>
          <t>Segundo año</t>
        </is>
      </c>
      <c r="B444" t="inlineStr">
        <is>
          <t>Primer periodo</t>
        </is>
      </c>
      <c r="C444" t="n">
        <v>117</v>
      </c>
      <c r="D444" t="n">
        <v>442</v>
      </c>
      <c r="E444" s="3" t="n">
        <v>46002</v>
      </c>
      <c r="F444" t="inlineStr">
        <is>
          <t>Punto de Acuerdo</t>
        </is>
      </c>
      <c r="G444" t="inlineStr">
        <is>
          <t>Acuerdo por el cual se aprueba la prórroga de la sesión</t>
        </is>
      </c>
      <c r="H444" t="n">
        <v>19</v>
      </c>
      <c r="I444" t="inlineStr">
        <is>
          <t>Internos del Congreso</t>
        </is>
      </c>
      <c r="J444" t="n">
        <v>41</v>
      </c>
      <c r="K444" t="n">
        <v>0</v>
      </c>
      <c r="L444" t="n">
        <v>0</v>
      </c>
      <c r="M444" t="n">
        <v>0</v>
      </c>
      <c r="N444">
        <f>SUM(J444:M444)</f>
        <v/>
      </c>
      <c r="O444" s="4">
        <f>SUM(J444:L444)/SUM(J444:M444)</f>
        <v/>
      </c>
      <c r="P444" s="5">
        <f>MAX(J444:L444)/SUM(J444:L444)</f>
        <v/>
      </c>
    </row>
    <row r="445">
      <c r="A445" t="inlineStr">
        <is>
          <t>Segundo año</t>
        </is>
      </c>
      <c r="B445" t="inlineStr">
        <is>
          <t>Primer periodo</t>
        </is>
      </c>
      <c r="C445" t="n">
        <v>118</v>
      </c>
      <c r="D445" t="n">
        <v>443</v>
      </c>
      <c r="E445" s="3" t="n">
        <v>46006</v>
      </c>
      <c r="F445" t="inlineStr">
        <is>
          <t>Punto de Acuerdo</t>
        </is>
      </c>
      <c r="G445" t="inlineStr">
        <is>
          <t>Acuerdo para la elección e integración de los miembros de la comisión permanente</t>
        </is>
      </c>
      <c r="H445" t="n">
        <v>19</v>
      </c>
      <c r="I445" t="inlineStr">
        <is>
          <t>Internos del Congreso</t>
        </is>
      </c>
      <c r="J445" t="n">
        <v>31</v>
      </c>
      <c r="K445" t="n">
        <v>0</v>
      </c>
      <c r="L445" t="n">
        <v>0</v>
      </c>
      <c r="M445" t="n">
        <v>10</v>
      </c>
      <c r="N445">
        <f>SUM(J445:M445)</f>
        <v/>
      </c>
      <c r="O445" s="4">
        <f>SUM(J445:L445)/SUM(J445:M445)</f>
        <v/>
      </c>
      <c r="P445" s="5">
        <f>MAX(J445:L445)/SUM(J445:L445)</f>
        <v/>
      </c>
    </row>
    <row r="446">
      <c r="A446" t="inlineStr">
        <is>
          <t>Segundo año</t>
        </is>
      </c>
      <c r="B446" t="inlineStr">
        <is>
          <t>Primer periodo</t>
        </is>
      </c>
      <c r="C446" t="n">
        <v>119</v>
      </c>
      <c r="D446" t="n">
        <v>444</v>
      </c>
      <c r="E446" s="3" t="n">
        <v>46006</v>
      </c>
      <c r="F446" t="inlineStr">
        <is>
          <t>Iniciativa</t>
        </is>
      </c>
      <c r="G446" t="inlineStr">
        <is>
          <t>Dictamen con minuta de decreto por el cual se reforman y adicionan diversas disposiciones de la Ley Orgánica de la Administración Pública del Estado</t>
        </is>
      </c>
      <c r="H446" t="n">
        <v>18</v>
      </c>
      <c r="I446" t="inlineStr">
        <is>
          <t>Administración Pública</t>
        </is>
      </c>
      <c r="J446" t="n">
        <v>28</v>
      </c>
      <c r="K446" t="n">
        <v>4</v>
      </c>
      <c r="L446" t="n">
        <v>0</v>
      </c>
      <c r="M446" t="n">
        <v>9</v>
      </c>
      <c r="N446">
        <f>SUM(J446:M446)</f>
        <v/>
      </c>
      <c r="O446" s="4">
        <f>SUM(J446:L446)/SUM(J446:M446)</f>
        <v/>
      </c>
      <c r="P446" s="5">
        <f>MAX(J446:L446)/SUM(J446:L446)</f>
        <v/>
      </c>
    </row>
    <row r="447">
      <c r="A447" t="inlineStr">
        <is>
          <t>Segundo año</t>
        </is>
      </c>
      <c r="B447" t="inlineStr">
        <is>
          <t>Primer periodo</t>
        </is>
      </c>
      <c r="C447" t="n">
        <v>120</v>
      </c>
      <c r="D447" t="n">
        <v>445</v>
      </c>
      <c r="E447" s="3" t="n">
        <v>46006</v>
      </c>
      <c r="F447" t="inlineStr">
        <is>
          <t>Iniciativa</t>
        </is>
      </c>
      <c r="G447" t="inlineStr">
        <is>
          <t>Dictamen con minuta de decreto por el cual se reforma el artículo 292 bis del Código Penal para el Estado</t>
        </is>
      </c>
      <c r="H447" t="n">
        <v>14</v>
      </c>
      <c r="I447" t="inlineStr">
        <is>
          <t>Justicia y Estado de Derecho</t>
        </is>
      </c>
      <c r="J447" t="n">
        <v>32</v>
      </c>
      <c r="K447" t="n">
        <v>0</v>
      </c>
      <c r="L447" t="n">
        <v>0</v>
      </c>
      <c r="M447" t="n">
        <v>9</v>
      </c>
      <c r="N447">
        <f>SUM(J447:M447)</f>
        <v/>
      </c>
      <c r="O447" s="4">
        <f>SUM(J447:L447)/SUM(J447:M447)</f>
        <v/>
      </c>
      <c r="P447" s="5">
        <f>MAX(J447:L447)/SUM(J447:L447)</f>
        <v/>
      </c>
    </row>
    <row r="448">
      <c r="A448" t="inlineStr">
        <is>
          <t>Segundo año</t>
        </is>
      </c>
      <c r="B448" t="inlineStr">
        <is>
          <t>Primer periodo</t>
        </is>
      </c>
      <c r="C448" t="n">
        <v>121</v>
      </c>
      <c r="D448" t="n">
        <v>446</v>
      </c>
      <c r="E448" s="3" t="n">
        <v>46006</v>
      </c>
      <c r="F448" t="inlineStr">
        <is>
          <t>Iniciativa</t>
        </is>
      </c>
      <c r="G448" t="inlineStr">
        <is>
          <t>Dictamen con minuta de decreto por el cual se reforma la Ley Estatal de Salud y se crea el organismo público descentralizado denominado Servicios de Salud del Estado</t>
        </is>
      </c>
      <c r="H448" t="n">
        <v>6</v>
      </c>
      <c r="I448" t="inlineStr">
        <is>
          <t>Salud</t>
        </is>
      </c>
      <c r="J448" t="n">
        <v>28</v>
      </c>
      <c r="K448" t="n">
        <v>4</v>
      </c>
      <c r="L448" t="n">
        <v>0</v>
      </c>
      <c r="M448" t="n">
        <v>9</v>
      </c>
      <c r="N448">
        <f>SUM(J448:M448)</f>
        <v/>
      </c>
      <c r="O448" s="4">
        <f>SUM(J448:L448)/SUM(J448:M448)</f>
        <v/>
      </c>
      <c r="P448" s="5">
        <f>MAX(J448:L448)/SUM(J448:L448)</f>
        <v/>
      </c>
    </row>
    <row r="449">
      <c r="A449" t="inlineStr">
        <is>
          <t>Segundo año</t>
        </is>
      </c>
      <c r="B449" t="inlineStr">
        <is>
          <t>Primer periodo</t>
        </is>
      </c>
      <c r="C449" t="n">
        <v>122</v>
      </c>
      <c r="D449" t="n">
        <v>447</v>
      </c>
      <c r="E449" s="3" t="n">
        <v>46006</v>
      </c>
      <c r="F449" t="inlineStr">
        <is>
          <t>Iniciativa</t>
        </is>
      </c>
      <c r="G449" t="inlineStr">
        <is>
          <t>Dictamen con minuta de decreto por el cual se autoriza al municipio de Puebla suscribir un contrato de comodato respecto al parque Paseo Bravo</t>
        </is>
      </c>
      <c r="H449" t="n">
        <v>7</v>
      </c>
      <c r="I449" t="inlineStr">
        <is>
          <t>Impuestos, Finanzas Públicas, Patrimonio estatal y municipal</t>
        </is>
      </c>
      <c r="J449" t="n">
        <v>32</v>
      </c>
      <c r="K449" t="n">
        <v>0</v>
      </c>
      <c r="L449" t="n">
        <v>0</v>
      </c>
      <c r="M449" t="n">
        <v>9</v>
      </c>
      <c r="N449">
        <f>SUM(J449:M449)</f>
        <v/>
      </c>
      <c r="O449" s="4">
        <f>SUM(J449:L449)/SUM(J449:M449)</f>
        <v/>
      </c>
      <c r="P449" s="5">
        <f>MAX(J449:L449)/SUM(J449:L449)</f>
        <v/>
      </c>
    </row>
    <row r="450">
      <c r="A450" t="inlineStr">
        <is>
          <t>Segundo año</t>
        </is>
      </c>
      <c r="B450" t="inlineStr">
        <is>
          <t>Primer periodo</t>
        </is>
      </c>
      <c r="C450" t="n">
        <v>123</v>
      </c>
      <c r="D450" t="n">
        <v>448</v>
      </c>
      <c r="E450" s="3" t="n">
        <v>46006</v>
      </c>
      <c r="F450" t="inlineStr">
        <is>
          <t>Iniciativa</t>
        </is>
      </c>
      <c r="G450" t="inlineStr">
        <is>
          <t>Dictamen con minuta de decreto por el cual se autoriza al municipio de Acatlán la enajenación bajo donación a título gratuito de diversos predios</t>
        </is>
      </c>
      <c r="H450" t="n">
        <v>7</v>
      </c>
      <c r="I450" t="inlineStr">
        <is>
          <t>Impuestos, Finanzas Públicas, Patrimonio estatal y municipal</t>
        </is>
      </c>
      <c r="J450" t="n">
        <v>33</v>
      </c>
      <c r="K450" t="n">
        <v>0</v>
      </c>
      <c r="L450" t="n">
        <v>0</v>
      </c>
      <c r="M450" t="n">
        <v>8</v>
      </c>
      <c r="N450">
        <f>SUM(J450:M450)</f>
        <v/>
      </c>
      <c r="O450" s="4">
        <f>SUM(J450:L450)/SUM(J450:M450)</f>
        <v/>
      </c>
      <c r="P450" s="5">
        <f>MAX(J450:L450)/SUM(J450:L450)</f>
        <v/>
      </c>
    </row>
    <row r="451">
      <c r="A451" t="inlineStr">
        <is>
          <t>Segundo año</t>
        </is>
      </c>
      <c r="B451" t="inlineStr">
        <is>
          <t>Primer periodo</t>
        </is>
      </c>
      <c r="C451" t="n">
        <v>124</v>
      </c>
      <c r="D451" t="n">
        <v>449</v>
      </c>
      <c r="E451" s="3" t="n">
        <v>46006</v>
      </c>
      <c r="F451" t="inlineStr">
        <is>
          <t>Iniciativa</t>
        </is>
      </c>
      <c r="G451" t="inlineStr">
        <is>
          <t>Dictamen con minuta de decreto por el cual se autoriza al municipio de Huauchinango la enajenación bajo donación a título gratuito de un terreno</t>
        </is>
      </c>
      <c r="H451" t="n">
        <v>7</v>
      </c>
      <c r="I451" t="inlineStr">
        <is>
          <t>Impuestos, Finanzas Públicas, Patrimonio estatal y municipal</t>
        </is>
      </c>
      <c r="J451" t="n">
        <v>33</v>
      </c>
      <c r="K451" t="n">
        <v>0</v>
      </c>
      <c r="L451" t="n">
        <v>0</v>
      </c>
      <c r="M451" t="n">
        <v>8</v>
      </c>
      <c r="N451">
        <f>SUM(J451:M451)</f>
        <v/>
      </c>
      <c r="O451" s="4">
        <f>SUM(J451:L451)/SUM(J451:M451)</f>
        <v/>
      </c>
      <c r="P451" s="5">
        <f>MAX(J451:L451)/SUM(J451:L451)</f>
        <v/>
      </c>
    </row>
    <row r="452">
      <c r="A452" t="inlineStr">
        <is>
          <t>Segundo año</t>
        </is>
      </c>
      <c r="B452" t="inlineStr">
        <is>
          <t>Primer periodo</t>
        </is>
      </c>
      <c r="C452" t="n">
        <v>125</v>
      </c>
      <c r="D452" t="n">
        <v>450</v>
      </c>
      <c r="E452" s="3" t="n">
        <v>46006</v>
      </c>
      <c r="F452" t="inlineStr">
        <is>
          <t>Iniciativa</t>
        </is>
      </c>
      <c r="G452" t="inlineStr">
        <is>
          <t>Dictamen con minuta de decreto por el cual se expide la Ley de Ingresos del municipio de Puebla para el ejercicio fiscal 2026</t>
        </is>
      </c>
      <c r="H452" t="n">
        <v>7</v>
      </c>
      <c r="I452" t="inlineStr">
        <is>
          <t>Impuestos, Finanzas Públicas, Patrimonio estatal y municipal</t>
        </is>
      </c>
      <c r="J452" t="n">
        <v>34</v>
      </c>
      <c r="K452" t="n">
        <v>0</v>
      </c>
      <c r="L452" t="n">
        <v>0</v>
      </c>
      <c r="M452" t="n">
        <v>7</v>
      </c>
      <c r="N452">
        <f>SUM(J452:M452)</f>
        <v/>
      </c>
      <c r="O452" s="4">
        <f>SUM(J452:L452)/SUM(J452:M452)</f>
        <v/>
      </c>
      <c r="P452" s="5">
        <f>MAX(J452:L452)/SUM(J452:L452)</f>
        <v/>
      </c>
    </row>
    <row r="453">
      <c r="A453" t="inlineStr">
        <is>
          <t>Segundo año</t>
        </is>
      </c>
      <c r="B453" t="inlineStr">
        <is>
          <t>Primer periodo</t>
        </is>
      </c>
      <c r="C453" t="n">
        <v>126</v>
      </c>
      <c r="D453" t="n">
        <v>451</v>
      </c>
      <c r="E453" s="3" t="n">
        <v>46006</v>
      </c>
      <c r="F453" t="inlineStr">
        <is>
          <t>Iniciativa</t>
        </is>
      </c>
      <c r="G453" t="inlineStr">
        <is>
          <t>Dictamen con minuta de decreto por el cual se expide la Ley de Ingresos del municipio de Cuautlancingo para el ejercicio fiscal 2026</t>
        </is>
      </c>
      <c r="H453" t="n">
        <v>7</v>
      </c>
      <c r="I453" t="inlineStr">
        <is>
          <t>Impuestos, Finanzas Públicas, Patrimonio estatal y municipal</t>
        </is>
      </c>
      <c r="J453" t="n">
        <v>34</v>
      </c>
      <c r="K453" t="n">
        <v>0</v>
      </c>
      <c r="L453" t="n">
        <v>0</v>
      </c>
      <c r="M453" t="n">
        <v>7</v>
      </c>
      <c r="N453">
        <f>SUM(J453:M453)</f>
        <v/>
      </c>
      <c r="O453" s="4">
        <f>SUM(J453:L453)/SUM(J453:M453)</f>
        <v/>
      </c>
      <c r="P453" s="5">
        <f>MAX(J453:L453)/SUM(J453:L453)</f>
        <v/>
      </c>
    </row>
    <row r="454">
      <c r="A454" t="inlineStr">
        <is>
          <t>Segundo año</t>
        </is>
      </c>
      <c r="B454" t="inlineStr">
        <is>
          <t>Primer periodo</t>
        </is>
      </c>
      <c r="C454" t="n">
        <v>127</v>
      </c>
      <c r="D454" t="n">
        <v>452</v>
      </c>
      <c r="E454" s="3" t="n">
        <v>46006</v>
      </c>
      <c r="F454" t="inlineStr">
        <is>
          <t>Iniciativa</t>
        </is>
      </c>
      <c r="G454" t="inlineStr">
        <is>
          <t>Dictamen con minuta de decreto por el cual se expiden las leyes de ingresos municipales para el ejercicio fiscal 2026 de veinticinco municipios</t>
        </is>
      </c>
      <c r="H454" t="n">
        <v>7</v>
      </c>
      <c r="I454" t="inlineStr">
        <is>
          <t>Impuestos, Finanzas Públicas, Patrimonio estatal y municipal</t>
        </is>
      </c>
      <c r="J454" t="n">
        <v>34</v>
      </c>
      <c r="K454" t="n">
        <v>0</v>
      </c>
      <c r="L454" t="n">
        <v>1</v>
      </c>
      <c r="M454" t="n">
        <v>6</v>
      </c>
      <c r="N454">
        <f>SUM(J454:M454)</f>
        <v/>
      </c>
      <c r="O454" s="4">
        <f>SUM(J454:L454)/SUM(J454:M454)</f>
        <v/>
      </c>
      <c r="P454" s="5">
        <f>MAX(J454:L454)/SUM(J454:L454)</f>
        <v/>
      </c>
    </row>
    <row r="455">
      <c r="A455" t="inlineStr">
        <is>
          <t>Segundo año</t>
        </is>
      </c>
      <c r="B455" t="inlineStr">
        <is>
          <t>Primer periodo</t>
        </is>
      </c>
      <c r="C455" t="n">
        <v>128</v>
      </c>
      <c r="D455" t="n">
        <v>453</v>
      </c>
      <c r="E455" s="3" t="n">
        <v>46006</v>
      </c>
      <c r="F455" t="inlineStr">
        <is>
          <t>Punto de Acuerdo</t>
        </is>
      </c>
      <c r="G455" t="inlineStr">
        <is>
          <t>Acuerdo por el que se exhorta a la Procuraduría Federal del Consumidor a reforzar operativos de verificación de básculas</t>
        </is>
      </c>
      <c r="H455" t="n">
        <v>1</v>
      </c>
      <c r="I455" t="inlineStr">
        <is>
          <t>Economía, Comercio y Competitividad</t>
        </is>
      </c>
      <c r="J455" t="n">
        <v>34</v>
      </c>
      <c r="K455" t="n">
        <v>0</v>
      </c>
      <c r="L455" t="n">
        <v>0</v>
      </c>
      <c r="M455" t="n">
        <v>7</v>
      </c>
      <c r="N455">
        <f>SUM(J455:M455)</f>
        <v/>
      </c>
      <c r="O455" s="4">
        <f>SUM(J455:L455)/SUM(J455:M455)</f>
        <v/>
      </c>
      <c r="P455" s="5">
        <f>MAX(J455:L455)/SUM(J455:L455)</f>
        <v/>
      </c>
    </row>
    <row r="456">
      <c r="A456" t="inlineStr">
        <is>
          <t>Segundo año</t>
        </is>
      </c>
      <c r="B456" t="inlineStr">
        <is>
          <t>Primer periodo</t>
        </is>
      </c>
      <c r="C456" t="n">
        <v>129</v>
      </c>
      <c r="D456" t="n">
        <v>454</v>
      </c>
      <c r="E456" s="3" t="n">
        <v>46006</v>
      </c>
      <c r="F456" t="inlineStr">
        <is>
          <t>Punto de Acuerdo</t>
        </is>
      </c>
      <c r="G456" t="inlineStr">
        <is>
          <t>Acuerdo por el que se exhorta al Instituto Poblano de los Pueblos Indígenas a actualizar el catálogo de pueblos y comunidades</t>
        </is>
      </c>
      <c r="H456" t="n">
        <v>2</v>
      </c>
      <c r="I456" t="inlineStr">
        <is>
          <t>Pobreza y Política Social</t>
        </is>
      </c>
      <c r="J456" t="n">
        <v>34</v>
      </c>
      <c r="K456" t="n">
        <v>0</v>
      </c>
      <c r="L456" t="n">
        <v>0</v>
      </c>
      <c r="M456" t="n">
        <v>7</v>
      </c>
      <c r="N456">
        <f>SUM(J456:M456)</f>
        <v/>
      </c>
      <c r="O456" s="4">
        <f>SUM(J456:L456)/SUM(J456:M456)</f>
        <v/>
      </c>
      <c r="P456" s="5">
        <f>MAX(J456:L456)/SUM(J456:L456)</f>
        <v/>
      </c>
    </row>
    <row r="457">
      <c r="A457" t="inlineStr">
        <is>
          <t>Segundo año</t>
        </is>
      </c>
      <c r="B457" t="inlineStr">
        <is>
          <t>Primer periodo</t>
        </is>
      </c>
      <c r="C457" t="n">
        <v>130</v>
      </c>
      <c r="D457" t="n">
        <v>455</v>
      </c>
      <c r="E457" s="3" t="n">
        <v>46006</v>
      </c>
      <c r="F457" t="inlineStr">
        <is>
          <t>Punto de Acuerdo</t>
        </is>
      </c>
      <c r="G457" t="inlineStr">
        <is>
          <t>Acuerdo por el que se exhorta a la Comisión de Derechos Humanos del Estado a promover los derechos de las personas adultas mayores</t>
        </is>
      </c>
      <c r="H457" t="n">
        <v>2</v>
      </c>
      <c r="I457" t="inlineStr">
        <is>
          <t>Pobreza y Política Social</t>
        </is>
      </c>
      <c r="J457" t="n">
        <v>34</v>
      </c>
      <c r="K457" t="n">
        <v>0</v>
      </c>
      <c r="L457" t="n">
        <v>5</v>
      </c>
      <c r="M457" t="n">
        <v>2</v>
      </c>
      <c r="N457">
        <f>SUM(J457:M457)</f>
        <v/>
      </c>
      <c r="O457" s="4">
        <f>SUM(J457:L457)/SUM(J457:M457)</f>
        <v/>
      </c>
      <c r="P457" s="5">
        <f>MAX(J457:L457)/SUM(J457:L457)</f>
        <v/>
      </c>
    </row>
    <row r="458">
      <c r="A458" t="inlineStr">
        <is>
          <t>Segundo año</t>
        </is>
      </c>
      <c r="B458" t="inlineStr">
        <is>
          <t>Primer periodo</t>
        </is>
      </c>
      <c r="C458" t="n">
        <v>131</v>
      </c>
      <c r="D458" t="n">
        <v>456</v>
      </c>
      <c r="E458" s="3" t="n">
        <v>46006</v>
      </c>
      <c r="F458" t="inlineStr">
        <is>
          <t>Punto de Acuerdo</t>
        </is>
      </c>
      <c r="G458" t="inlineStr">
        <is>
          <t>Acuerdo por el que se exhorta a la Secretaría de Salud y municipios a prevenir afectaciones por la temporada de frentes fríos</t>
        </is>
      </c>
      <c r="H458" t="n">
        <v>6</v>
      </c>
      <c r="I458" t="inlineStr">
        <is>
          <t>Salud</t>
        </is>
      </c>
      <c r="J458" t="n">
        <v>34</v>
      </c>
      <c r="K458" t="n">
        <v>0</v>
      </c>
      <c r="L458" t="n">
        <v>5</v>
      </c>
      <c r="M458" t="n">
        <v>2</v>
      </c>
      <c r="N458">
        <f>SUM(J458:M458)</f>
        <v/>
      </c>
      <c r="O458" s="4">
        <f>SUM(J458:L458)/SUM(J458:M458)</f>
        <v/>
      </c>
      <c r="P458" s="5">
        <f>MAX(J458:L458)/SUM(J458:L458)</f>
        <v/>
      </c>
    </row>
    <row r="459">
      <c r="A459" t="inlineStr">
        <is>
          <t>Segundo año</t>
        </is>
      </c>
      <c r="B459" t="inlineStr">
        <is>
          <t>Primer periodo</t>
        </is>
      </c>
      <c r="C459" t="n">
        <v>132</v>
      </c>
      <c r="D459" t="n">
        <v>457</v>
      </c>
      <c r="E459" s="3" t="n">
        <v>46007</v>
      </c>
      <c r="F459" t="inlineStr">
        <is>
          <t>Punto de Acuerdo</t>
        </is>
      </c>
      <c r="G459" t="inlineStr">
        <is>
          <t>Acuerdo por el cual llevar a cabo las sesiones en el salón de plenos de este recinto legislativo</t>
        </is>
      </c>
      <c r="H459" t="n">
        <v>19</v>
      </c>
      <c r="I459" t="inlineStr">
        <is>
          <t>Internos del Congreso</t>
        </is>
      </c>
      <c r="J459" t="n">
        <v>7</v>
      </c>
      <c r="K459" t="n">
        <v>0</v>
      </c>
      <c r="L459" t="n">
        <v>0</v>
      </c>
      <c r="M459" t="n">
        <v>2</v>
      </c>
      <c r="N459">
        <f>SUM(J459:M459)</f>
        <v/>
      </c>
      <c r="O459" s="4">
        <f>SUM(J459:L459)/SUM(J459:M459)</f>
        <v/>
      </c>
      <c r="P459" s="5">
        <f>MAX(J459:L459)/SUM(J459:L459)</f>
        <v/>
      </c>
    </row>
    <row r="460">
      <c r="A460" t="inlineStr">
        <is>
          <t>Segundo año</t>
        </is>
      </c>
      <c r="B460" t="inlineStr">
        <is>
          <t>Primer periodo</t>
        </is>
      </c>
      <c r="C460" t="n">
        <v>133</v>
      </c>
      <c r="D460" t="n">
        <v>458</v>
      </c>
      <c r="E460" s="3" t="n">
        <v>46010</v>
      </c>
      <c r="F460" t="inlineStr">
        <is>
          <t>Punto de Acuerdo</t>
        </is>
      </c>
      <c r="G460" t="inlineStr">
        <is>
          <t>Acuerdo por el cual la dispensa de lectura</t>
        </is>
      </c>
      <c r="H460" t="n">
        <v>19</v>
      </c>
      <c r="I460" t="inlineStr">
        <is>
          <t>Internos del Congreso</t>
        </is>
      </c>
      <c r="J460" t="n">
        <v>9</v>
      </c>
      <c r="K460" t="n">
        <v>0</v>
      </c>
      <c r="L460" t="n">
        <v>0</v>
      </c>
      <c r="M460" t="n">
        <v>0</v>
      </c>
      <c r="N460">
        <f>SUM(J460:M460)</f>
        <v/>
      </c>
      <c r="O460" s="4">
        <f>SUM(J460:L460)/SUM(J460:M460)</f>
        <v/>
      </c>
      <c r="P460" s="5">
        <f>MAX(J460:L460)/SUM(J460:L460)</f>
        <v/>
      </c>
    </row>
    <row r="461">
      <c r="A461" t="inlineStr">
        <is>
          <t>Segundo año</t>
        </is>
      </c>
      <c r="B461" t="inlineStr">
        <is>
          <t>Primer periodo</t>
        </is>
      </c>
      <c r="C461" t="n">
        <v>134</v>
      </c>
      <c r="D461" t="n">
        <v>459</v>
      </c>
      <c r="E461" s="3" t="n">
        <v>46010</v>
      </c>
      <c r="F461" t="inlineStr">
        <is>
          <t>Punto de Acuerdo</t>
        </is>
      </c>
      <c r="G461" t="inlineStr">
        <is>
          <t>Acuerdo por el cual la aprobación del contenido del acta</t>
        </is>
      </c>
      <c r="H461" t="n">
        <v>19</v>
      </c>
      <c r="I461" t="inlineStr">
        <is>
          <t>Internos del Congreso</t>
        </is>
      </c>
      <c r="J461" t="n">
        <v>9</v>
      </c>
      <c r="K461" t="n">
        <v>0</v>
      </c>
      <c r="L461" t="n">
        <v>0</v>
      </c>
      <c r="M461" t="n">
        <v>0</v>
      </c>
      <c r="N461">
        <f>SUM(J461:M461)</f>
        <v/>
      </c>
      <c r="O461" s="4">
        <f>SUM(J461:L461)/SUM(J461:M461)</f>
        <v/>
      </c>
      <c r="P461" s="5">
        <f>MAX(J461:L461)/SUM(J461:L461)</f>
        <v/>
      </c>
    </row>
    <row r="462">
      <c r="A462" t="inlineStr">
        <is>
          <t>Segundo año</t>
        </is>
      </c>
      <c r="B462" t="inlineStr">
        <is>
          <t>Primer periodo</t>
        </is>
      </c>
      <c r="C462" t="n">
        <v>135</v>
      </c>
      <c r="D462" t="n">
        <v>460</v>
      </c>
      <c r="E462" s="3" t="n">
        <v>46010</v>
      </c>
      <c r="F462" t="inlineStr">
        <is>
          <t>Punto de Acuerdo</t>
        </is>
      </c>
      <c r="G462" t="inlineStr">
        <is>
          <t>Acuerdo por el cual la dispensa de lectura de los acuerdos</t>
        </is>
      </c>
      <c r="H462" t="n">
        <v>19</v>
      </c>
      <c r="I462" t="inlineStr">
        <is>
          <t>Internos del Congreso</t>
        </is>
      </c>
      <c r="J462" t="n">
        <v>9</v>
      </c>
      <c r="K462" t="n">
        <v>0</v>
      </c>
      <c r="L462" t="n">
        <v>0</v>
      </c>
      <c r="M462" t="n">
        <v>0</v>
      </c>
      <c r="N462">
        <f>SUM(J462:M462)</f>
        <v/>
      </c>
      <c r="O462" s="4">
        <f>SUM(J462:L462)/SUM(J462:M462)</f>
        <v/>
      </c>
      <c r="P462" s="5">
        <f>MAX(J462:L462)/SUM(J462:L462)</f>
        <v/>
      </c>
    </row>
    <row r="463">
      <c r="A463" t="inlineStr">
        <is>
          <t>Segundo año</t>
        </is>
      </c>
      <c r="B463" t="inlineStr">
        <is>
          <t>Primer periodo</t>
        </is>
      </c>
      <c r="C463" t="n">
        <v>136</v>
      </c>
      <c r="D463" t="n">
        <v>461</v>
      </c>
      <c r="E463" s="3" t="n">
        <v>46010</v>
      </c>
      <c r="F463" t="inlineStr">
        <is>
          <t>Punto de Acuerdo</t>
        </is>
      </c>
      <c r="G463" t="inlineStr">
        <is>
          <t>Acuerdo por el que se exhorta a los cincuenta municipios incluidos en la declaratoria de alerta de violencia de género contra las mujeres para el estado de Puebla</t>
        </is>
      </c>
      <c r="H463" t="n">
        <v>20</v>
      </c>
      <c r="I463" t="inlineStr">
        <is>
          <t>Justicia y Estado de Derecho en temas de Mujeres</t>
        </is>
      </c>
      <c r="J463" t="n">
        <v>9</v>
      </c>
      <c r="K463" t="n">
        <v>0</v>
      </c>
      <c r="L463" t="n">
        <v>0</v>
      </c>
      <c r="M463" t="n">
        <v>0</v>
      </c>
      <c r="N463">
        <f>SUM(J463:M463)</f>
        <v/>
      </c>
      <c r="O463" s="4">
        <f>SUM(J463:L463)/SUM(J463:M463)</f>
        <v/>
      </c>
      <c r="P463" s="5">
        <f>MAX(J463:L463)/SUM(J463:L463)</f>
        <v/>
      </c>
    </row>
    <row r="464">
      <c r="A464" t="inlineStr">
        <is>
          <t>Segundo año</t>
        </is>
      </c>
      <c r="B464" t="inlineStr">
        <is>
          <t>Primer periodo</t>
        </is>
      </c>
      <c r="C464" t="n">
        <v>137</v>
      </c>
      <c r="D464" t="n">
        <v>462</v>
      </c>
      <c r="E464" s="3" t="n">
        <v>46010</v>
      </c>
      <c r="F464" t="inlineStr">
        <is>
          <t>Punto de Acuerdo</t>
        </is>
      </c>
      <c r="G464" t="inlineStr">
        <is>
          <t>Acuerdo por el que se exhorta a la secretaría de las mujeres</t>
        </is>
      </c>
      <c r="H464" t="n">
        <v>20</v>
      </c>
      <c r="I464" t="inlineStr">
        <is>
          <t>Justicia y Estado de Derecho en temas de Mujeres</t>
        </is>
      </c>
      <c r="J464" t="n">
        <v>9</v>
      </c>
      <c r="K464" t="n">
        <v>0</v>
      </c>
      <c r="L464" t="n">
        <v>0</v>
      </c>
      <c r="M464" t="n">
        <v>0</v>
      </c>
      <c r="N464">
        <f>SUM(J464:M464)</f>
        <v/>
      </c>
      <c r="O464" s="4">
        <f>SUM(J464:L464)/SUM(J464:M464)</f>
        <v/>
      </c>
      <c r="P464" s="5">
        <f>MAX(J464:L464)/SUM(J464:L464)</f>
        <v/>
      </c>
    </row>
    <row r="465">
      <c r="A465" t="inlineStr">
        <is>
          <t>Segundo año</t>
        </is>
      </c>
      <c r="B465" t="inlineStr">
        <is>
          <t>Primer periodo</t>
        </is>
      </c>
      <c r="C465" t="n">
        <v>138</v>
      </c>
      <c r="D465" t="n">
        <v>463</v>
      </c>
      <c r="E465" s="3" t="n">
        <v>46010</v>
      </c>
      <c r="F465" t="inlineStr">
        <is>
          <t>Punto de Acuerdo</t>
        </is>
      </c>
      <c r="G465" t="inlineStr">
        <is>
          <t>Acuerdo por el que se exhorta a la secretaría de medio ambiente, desarrollo sustentable y ordenamiento territorial</t>
        </is>
      </c>
      <c r="H465" t="n">
        <v>5</v>
      </c>
      <c r="I465" t="inlineStr">
        <is>
          <t>Medio Ambiente</t>
        </is>
      </c>
      <c r="J465" t="n">
        <v>9</v>
      </c>
      <c r="K465" t="n">
        <v>0</v>
      </c>
      <c r="L465" t="n">
        <v>0</v>
      </c>
      <c r="M465" t="n">
        <v>0</v>
      </c>
      <c r="N465">
        <f>SUM(J465:M465)</f>
        <v/>
      </c>
      <c r="O465" s="4">
        <f>SUM(J465:L465)/SUM(J465:M465)</f>
        <v/>
      </c>
      <c r="P465" s="5">
        <f>MAX(J465:L465)/SUM(J465:L465)</f>
        <v/>
      </c>
    </row>
    <row r="466">
      <c r="A466" t="inlineStr">
        <is>
          <t>Segundo año</t>
        </is>
      </c>
      <c r="B466" t="inlineStr">
        <is>
          <t>Primer periodo</t>
        </is>
      </c>
      <c r="C466" t="n">
        <v>139</v>
      </c>
      <c r="D466" t="n">
        <v>464</v>
      </c>
      <c r="E466" s="3" t="n">
        <v>46010</v>
      </c>
      <c r="F466" t="inlineStr">
        <is>
          <t>Punto de Acuerdo</t>
        </is>
      </c>
      <c r="G466" t="inlineStr">
        <is>
          <t>Acuerdo por el que se exhorta a los doscientos doce ayuntamientos y a los cinco concejos municipales del estado</t>
        </is>
      </c>
      <c r="H466" t="n">
        <v>5</v>
      </c>
      <c r="I466" t="inlineStr">
        <is>
          <t>Medio Ambiente</t>
        </is>
      </c>
      <c r="J466" t="n">
        <v>9</v>
      </c>
      <c r="K466" t="n">
        <v>0</v>
      </c>
      <c r="L466" t="n">
        <v>0</v>
      </c>
      <c r="M466" t="n">
        <v>0</v>
      </c>
      <c r="N466">
        <f>SUM(J466:M466)</f>
        <v/>
      </c>
      <c r="O466" s="4">
        <f>SUM(J466:L466)/SUM(J466:M466)</f>
        <v/>
      </c>
      <c r="P466" s="5">
        <f>MAX(J466:L466)/SUM(J466:L466)</f>
        <v/>
      </c>
    </row>
    <row r="467">
      <c r="A467" t="inlineStr">
        <is>
          <t>Segundo año</t>
        </is>
      </c>
      <c r="B467" t="inlineStr">
        <is>
          <t>Primer periodo</t>
        </is>
      </c>
      <c r="C467" t="n">
        <v>140</v>
      </c>
      <c r="D467" t="n">
        <v>465</v>
      </c>
      <c r="E467" s="3" t="n">
        <v>46031</v>
      </c>
      <c r="F467" t="inlineStr">
        <is>
          <t>Punto de Acuerdo</t>
        </is>
      </c>
      <c r="G467" t="inlineStr">
        <is>
          <t>Acuerdo por el cual se aprueba la dispensa de lectura</t>
        </is>
      </c>
      <c r="H467" t="n">
        <v>19</v>
      </c>
      <c r="I467" t="inlineStr">
        <is>
          <t>Internos del Congreso</t>
        </is>
      </c>
      <c r="J467" t="n">
        <v>6</v>
      </c>
      <c r="K467" t="n">
        <v>0</v>
      </c>
      <c r="L467" t="n">
        <v>0</v>
      </c>
      <c r="M467" t="n">
        <v>0</v>
      </c>
      <c r="N467">
        <f>SUM(J467:M467)</f>
        <v/>
      </c>
      <c r="O467" s="4">
        <f>SUM(J467:L467)/SUM(J467:M467)</f>
        <v/>
      </c>
      <c r="P467" s="5">
        <f>MAX(J467:L467)/SUM(J467:L467)</f>
        <v/>
      </c>
    </row>
    <row r="468">
      <c r="A468" t="inlineStr">
        <is>
          <t>Segundo año</t>
        </is>
      </c>
      <c r="B468" t="inlineStr">
        <is>
          <t>Segundo periodo</t>
        </is>
      </c>
      <c r="C468" t="n">
        <v>1</v>
      </c>
      <c r="D468" t="n">
        <v>466</v>
      </c>
      <c r="E468" s="3" t="n">
        <v>46037</v>
      </c>
      <c r="F468" t="inlineStr">
        <is>
          <t>Punto de Acuerdo</t>
        </is>
      </c>
      <c r="G468" t="inlineStr">
        <is>
          <t>Acuerdo por el cual la elección de la persona titular de la Auditoría Superior del Estado</t>
        </is>
      </c>
      <c r="H468" t="n">
        <v>18</v>
      </c>
      <c r="I468" t="inlineStr">
        <is>
          <t>Administración Pública</t>
        </is>
      </c>
      <c r="J468" t="n">
        <v>37</v>
      </c>
      <c r="K468" t="n">
        <v>0</v>
      </c>
      <c r="L468" t="n">
        <v>1</v>
      </c>
      <c r="M468" t="n">
        <v>3</v>
      </c>
      <c r="N468">
        <f>SUM(J468:M468)</f>
        <v/>
      </c>
      <c r="O468" s="4">
        <f>SUM(J468:L468)/SUM(J468:M468)</f>
        <v/>
      </c>
      <c r="P468" s="5">
        <f>MAX(J468:L468)/SUM(J468:L468)</f>
        <v/>
      </c>
    </row>
    <row r="469">
      <c r="A469" t="inlineStr">
        <is>
          <t>Segundo año</t>
        </is>
      </c>
      <c r="B469" t="inlineStr">
        <is>
          <t>Segundo periodo</t>
        </is>
      </c>
      <c r="C469" t="n">
        <v>2</v>
      </c>
      <c r="D469" t="n">
        <v>467</v>
      </c>
      <c r="E469" s="3" t="n">
        <v>46044</v>
      </c>
      <c r="F469" t="inlineStr">
        <is>
          <t>Punto de Acuerdo</t>
        </is>
      </c>
      <c r="G469" t="inlineStr">
        <is>
          <t>Acuerdo por el cual la dispensa de lectura del acta de la sesión pública ordinaria, celebrada el veintiuno de enero del año en curso</t>
        </is>
      </c>
      <c r="H469" t="n">
        <v>19</v>
      </c>
      <c r="I469" t="inlineStr">
        <is>
          <t>Internos del Congreso</t>
        </is>
      </c>
      <c r="J469" t="n">
        <v>41</v>
      </c>
      <c r="K469" t="n">
        <v>0</v>
      </c>
      <c r="L469" t="n">
        <v>0</v>
      </c>
      <c r="M469" t="n">
        <v>0</v>
      </c>
      <c r="N469">
        <f>SUM(J469:M469)</f>
        <v/>
      </c>
      <c r="O469" s="4">
        <f>SUM(J469:L469)/SUM(J469:M469)</f>
        <v/>
      </c>
      <c r="P469" s="5">
        <f>MAX(J469:L469)/SUM(J469:L469)</f>
        <v/>
      </c>
    </row>
    <row r="470">
      <c r="A470" t="inlineStr">
        <is>
          <t>Segundo año</t>
        </is>
      </c>
      <c r="B470" t="inlineStr">
        <is>
          <t>Segundo periodo</t>
        </is>
      </c>
      <c r="C470" t="n">
        <v>3</v>
      </c>
      <c r="D470" t="n">
        <v>468</v>
      </c>
      <c r="E470" s="3" t="n">
        <v>46044</v>
      </c>
      <c r="F470" t="inlineStr">
        <is>
          <t>Punto de Acuerdo</t>
        </is>
      </c>
      <c r="G470" t="inlineStr">
        <is>
          <t>Acuerdo por el cual el contenido del acta de la sesión pública ordinaria celebrada el veintiuno de enero del año en curso</t>
        </is>
      </c>
      <c r="H470" t="n">
        <v>19</v>
      </c>
      <c r="I470" t="inlineStr">
        <is>
          <t>Internos del Congreso</t>
        </is>
      </c>
      <c r="J470" t="n">
        <v>41</v>
      </c>
      <c r="K470" t="n">
        <v>0</v>
      </c>
      <c r="L470" t="n">
        <v>0</v>
      </c>
      <c r="M470" t="n">
        <v>0</v>
      </c>
      <c r="N470">
        <f>SUM(J470:M470)</f>
        <v/>
      </c>
      <c r="O470" s="4">
        <f>SUM(J470:L470)/SUM(J470:M470)</f>
        <v/>
      </c>
      <c r="P470" s="5">
        <f>MAX(J470:L470)/SUM(J470:L470)</f>
        <v/>
      </c>
    </row>
    <row r="471">
      <c r="A471" t="inlineStr">
        <is>
          <t>Segundo año</t>
        </is>
      </c>
      <c r="B471" t="inlineStr">
        <is>
          <t>Segundo periodo</t>
        </is>
      </c>
      <c r="C471" t="n">
        <v>4</v>
      </c>
      <c r="D471" t="n">
        <v>469</v>
      </c>
      <c r="E471" s="3" t="n">
        <v>46044</v>
      </c>
      <c r="F471" t="inlineStr">
        <is>
          <t>Punto de Acuerdo</t>
        </is>
      </c>
      <c r="G471" t="inlineStr">
        <is>
          <t>Acuerdo por el cual la solicitud de retirar el punto treinta y uno del orden del día</t>
        </is>
      </c>
      <c r="H471" t="n">
        <v>19</v>
      </c>
      <c r="I471" t="inlineStr">
        <is>
          <t>Internos del Congreso</t>
        </is>
      </c>
      <c r="J471" t="n">
        <v>41</v>
      </c>
      <c r="K471" t="n">
        <v>0</v>
      </c>
      <c r="L471" t="n">
        <v>0</v>
      </c>
      <c r="M471" t="n">
        <v>0</v>
      </c>
      <c r="N471">
        <f>SUM(J471:M471)</f>
        <v/>
      </c>
      <c r="O471" s="4">
        <f>SUM(J471:L471)/SUM(J471:M471)</f>
        <v/>
      </c>
      <c r="P471" s="5">
        <f>MAX(J471:L471)/SUM(J471:L471)</f>
        <v/>
      </c>
    </row>
    <row r="472">
      <c r="A472" t="inlineStr">
        <is>
          <t>Segundo año</t>
        </is>
      </c>
      <c r="B472" t="inlineStr">
        <is>
          <t>Segundo periodo</t>
        </is>
      </c>
      <c r="C472" t="n">
        <v>5</v>
      </c>
      <c r="D472" t="n">
        <v>470</v>
      </c>
      <c r="E472" s="3" t="n">
        <v>46051</v>
      </c>
      <c r="F472" t="inlineStr">
        <is>
          <t>Iniciativa</t>
        </is>
      </c>
      <c r="G472" t="inlineStr">
        <is>
          <t>Dictamen con minuta de decreto por el cual se reforman y adicionan diversas disposiciones de la ley de hacienda para el estado de Puebla</t>
        </is>
      </c>
      <c r="H472" t="n">
        <v>7</v>
      </c>
      <c r="I472" t="inlineStr">
        <is>
          <t>Impuestos, Finanzas Públicas, Patrimonio estatal y municipal</t>
        </is>
      </c>
      <c r="J472" t="n">
        <v>34</v>
      </c>
      <c r="K472" t="n">
        <v>0</v>
      </c>
      <c r="L472" t="n">
        <v>0</v>
      </c>
      <c r="M472" t="n">
        <v>7</v>
      </c>
      <c r="N472">
        <f>SUM(J472:M472)</f>
        <v/>
      </c>
      <c r="O472" s="4">
        <f>SUM(J472:L472)/SUM(J472:M472)</f>
        <v/>
      </c>
      <c r="P472" s="5">
        <f>MAX(J472:L472)/SUM(J472:L472)</f>
        <v/>
      </c>
    </row>
    <row r="473">
      <c r="A473" t="inlineStr">
        <is>
          <t>Segundo año</t>
        </is>
      </c>
      <c r="B473" t="inlineStr">
        <is>
          <t>Segundo periodo</t>
        </is>
      </c>
      <c r="C473" t="n">
        <v>6</v>
      </c>
      <c r="D473" t="n">
        <v>471</v>
      </c>
      <c r="E473" s="3" t="n">
        <v>46051</v>
      </c>
      <c r="F473" t="inlineStr">
        <is>
          <t>Iniciativa</t>
        </is>
      </c>
      <c r="G473" t="inlineStr">
        <is>
          <t>Dictamen con minuta de decreto por el cual se declara el veinticuatro de diciembre de cada año como el “día estatal del mezcal poblano”</t>
        </is>
      </c>
      <c r="H473" t="n">
        <v>8</v>
      </c>
      <c r="I473" t="inlineStr">
        <is>
          <t>Educación y Cultura</t>
        </is>
      </c>
      <c r="J473" t="n">
        <v>35</v>
      </c>
      <c r="K473" t="n">
        <v>0</v>
      </c>
      <c r="L473" t="n">
        <v>0</v>
      </c>
      <c r="M473" t="n">
        <v>6</v>
      </c>
      <c r="N473">
        <f>SUM(J473:M473)</f>
        <v/>
      </c>
      <c r="O473" s="4">
        <f>SUM(J473:L473)/SUM(J473:M473)</f>
        <v/>
      </c>
      <c r="P473" s="5">
        <f>MAX(J473:L473)/SUM(J473:L473)</f>
        <v/>
      </c>
    </row>
    <row r="474">
      <c r="A474" t="inlineStr">
        <is>
          <t>Segundo año</t>
        </is>
      </c>
      <c r="B474" t="inlineStr">
        <is>
          <t>Segundo periodo</t>
        </is>
      </c>
      <c r="C474" t="n">
        <v>7</v>
      </c>
      <c r="D474" t="n">
        <v>472</v>
      </c>
      <c r="E474" s="3" t="n">
        <v>46051</v>
      </c>
      <c r="F474" t="inlineStr">
        <is>
          <t>Iniciativa</t>
        </is>
      </c>
      <c r="G474" t="inlineStr">
        <is>
          <t>Dictamen con minuta de decreto por el cual se declara “heroica ciudad de pahuatlán”, entre otro resolutivo</t>
        </is>
      </c>
      <c r="H474" t="n">
        <v>8</v>
      </c>
      <c r="I474" t="inlineStr">
        <is>
          <t>Educación y Cultura</t>
        </is>
      </c>
      <c r="J474" t="n">
        <v>36</v>
      </c>
      <c r="K474" t="n">
        <v>0</v>
      </c>
      <c r="L474" t="n">
        <v>0</v>
      </c>
      <c r="M474" t="n">
        <v>5</v>
      </c>
      <c r="N474">
        <f>SUM(J474:M474)</f>
        <v/>
      </c>
      <c r="O474" s="4">
        <f>SUM(J474:L474)/SUM(J474:M474)</f>
        <v/>
      </c>
      <c r="P474" s="5">
        <f>MAX(J474:L474)/SUM(J474:L474)</f>
        <v/>
      </c>
    </row>
    <row r="475">
      <c r="A475" t="inlineStr">
        <is>
          <t>Segundo año</t>
        </is>
      </c>
      <c r="B475" t="inlineStr">
        <is>
          <t>Segundo periodo</t>
        </is>
      </c>
      <c r="C475" t="n">
        <v>8</v>
      </c>
      <c r="D475" t="n">
        <v>473</v>
      </c>
      <c r="E475" s="3" t="n">
        <v>46051</v>
      </c>
      <c r="F475" t="inlineStr">
        <is>
          <t>Punto de Acuerdo</t>
        </is>
      </c>
      <c r="G475" t="inlineStr">
        <is>
          <t>Acuerdo por el que se exhorta a los diecinueve municipios que integran la zona metropolitana del estado</t>
        </is>
      </c>
      <c r="H475" t="n">
        <v>11</v>
      </c>
      <c r="I475" t="inlineStr">
        <is>
          <t>Infraestructura, Movilidad y Transporte</t>
        </is>
      </c>
      <c r="J475" t="n">
        <v>36</v>
      </c>
      <c r="K475" t="n">
        <v>0</v>
      </c>
      <c r="L475" t="n">
        <v>0</v>
      </c>
      <c r="M475" t="n">
        <v>5</v>
      </c>
      <c r="N475">
        <f>SUM(J475:M475)</f>
        <v/>
      </c>
      <c r="O475" s="4">
        <f>SUM(J475:L475)/SUM(J475:M475)</f>
        <v/>
      </c>
      <c r="P475" s="5">
        <f>MAX(J475:L475)/SUM(J475:L475)</f>
        <v/>
      </c>
    </row>
    <row r="476">
      <c r="A476" t="inlineStr">
        <is>
          <t>Segundo año</t>
        </is>
      </c>
      <c r="B476" t="inlineStr">
        <is>
          <t>Segundo periodo</t>
        </is>
      </c>
      <c r="C476" t="n">
        <v>9</v>
      </c>
      <c r="D476" t="n">
        <v>474</v>
      </c>
      <c r="E476" s="3" t="n">
        <v>46051</v>
      </c>
      <c r="F476" t="inlineStr">
        <is>
          <t>Punto de Acuerdo</t>
        </is>
      </c>
      <c r="G476" t="inlineStr">
        <is>
          <t>Acuerdo por el que se exhorta a la administración local del servicio de administración tributaria en Puebla</t>
        </is>
      </c>
      <c r="H476" t="n">
        <v>7</v>
      </c>
      <c r="I476" t="inlineStr">
        <is>
          <t>Impuestos, Finanzas Públicas, Patrimonio estatal y municipal</t>
        </is>
      </c>
      <c r="J476" t="n">
        <v>37</v>
      </c>
      <c r="K476" t="n">
        <v>0</v>
      </c>
      <c r="L476" t="n">
        <v>0</v>
      </c>
      <c r="M476" t="n">
        <v>4</v>
      </c>
      <c r="N476">
        <f>SUM(J476:M476)</f>
        <v/>
      </c>
      <c r="O476" s="4">
        <f>SUM(J476:L476)/SUM(J476:M476)</f>
        <v/>
      </c>
      <c r="P476" s="5">
        <f>MAX(J476:L476)/SUM(J476:L476)</f>
        <v/>
      </c>
    </row>
    <row r="477">
      <c r="A477" t="inlineStr">
        <is>
          <t>Segundo año</t>
        </is>
      </c>
      <c r="B477" t="inlineStr">
        <is>
          <t>Segundo periodo</t>
        </is>
      </c>
      <c r="C477" t="n">
        <v>10</v>
      </c>
      <c r="D477" t="n">
        <v>475</v>
      </c>
      <c r="E477" s="3" t="n">
        <v>46051</v>
      </c>
      <c r="F477" t="inlineStr">
        <is>
          <t>Punto de Acuerdo</t>
        </is>
      </c>
      <c r="G477" t="inlineStr">
        <is>
          <t>Acuerdo por el cual se exhorta a la coordinación general de protección civil y gestión del riesgo de desastres del estado</t>
        </is>
      </c>
      <c r="H477" t="n">
        <v>3</v>
      </c>
      <c r="I477" t="inlineStr">
        <is>
          <t>Seguridad Pública, Protección Civil y Narcotráfico</t>
        </is>
      </c>
      <c r="J477" t="n">
        <v>37</v>
      </c>
      <c r="K477" t="n">
        <v>0</v>
      </c>
      <c r="L477" t="n">
        <v>0</v>
      </c>
      <c r="M477" t="n">
        <v>4</v>
      </c>
      <c r="N477">
        <f>SUM(J477:M477)</f>
        <v/>
      </c>
      <c r="O477" s="4">
        <f>SUM(J477:L477)/SUM(J477:M477)</f>
        <v/>
      </c>
      <c r="P477" s="5">
        <f>MAX(J477:L477)/SUM(J477:L477)</f>
        <v/>
      </c>
    </row>
    <row r="478">
      <c r="A478" t="inlineStr">
        <is>
          <t>Segundo año</t>
        </is>
      </c>
      <c r="B478" t="inlineStr">
        <is>
          <t>Segundo periodo</t>
        </is>
      </c>
      <c r="C478" t="n">
        <v>11</v>
      </c>
      <c r="D478" t="n">
        <v>476</v>
      </c>
      <c r="E478" s="3" t="n">
        <v>46058</v>
      </c>
      <c r="F478" t="inlineStr">
        <is>
          <t>Iniciativa</t>
        </is>
      </c>
      <c r="G478" t="inlineStr">
        <is>
          <t>Dictamen con minuta de decreto por el cual se reforman las fracciones IX y X, y se adiciona la fracción XI al artículo 49 de la Ley de los Derechos de las Niñas, Niños y Adolescentes del estado de Puebla</t>
        </is>
      </c>
      <c r="H478" t="n">
        <v>0</v>
      </c>
      <c r="I478" t="inlineStr">
        <is>
          <t>8</t>
        </is>
      </c>
      <c r="J478" t="n">
        <v>40</v>
      </c>
      <c r="K478" t="n">
        <v>0</v>
      </c>
      <c r="L478" t="n">
        <v>0</v>
      </c>
      <c r="M478" t="n">
        <v>1</v>
      </c>
      <c r="N478">
        <f>SUM(J478:M478)</f>
        <v/>
      </c>
      <c r="O478" s="4">
        <f>SUM(J478:L478)/SUM(J478:M478)</f>
        <v/>
      </c>
      <c r="P478" s="5">
        <f>MAX(J478:L478)/SUM(J478:L478)</f>
        <v/>
      </c>
    </row>
    <row r="479">
      <c r="A479" t="inlineStr">
        <is>
          <t>Segundo año</t>
        </is>
      </c>
      <c r="B479" t="inlineStr">
        <is>
          <t>Segundo periodo</t>
        </is>
      </c>
      <c r="C479" t="n">
        <v>12</v>
      </c>
      <c r="D479" t="n">
        <v>477</v>
      </c>
      <c r="E479" s="3" t="n">
        <v>46058</v>
      </c>
      <c r="F479" t="inlineStr">
        <is>
          <t>Punto de Acuerdo</t>
        </is>
      </c>
      <c r="G479" t="inlineStr">
        <is>
          <t>Acuerdo por el que se exhorta al Sistema para el Desarrollo Integral de la Familia del estado de Puebla</t>
        </is>
      </c>
      <c r="H479" t="n">
        <v>0</v>
      </c>
      <c r="I479" t="inlineStr">
        <is>
          <t>6</t>
        </is>
      </c>
      <c r="J479" t="n">
        <v>40</v>
      </c>
      <c r="K479" t="n">
        <v>0</v>
      </c>
      <c r="L479" t="n">
        <v>0</v>
      </c>
      <c r="M479" t="n">
        <v>1</v>
      </c>
      <c r="N479">
        <f>SUM(J479:M479)</f>
        <v/>
      </c>
      <c r="O479" s="4">
        <f>SUM(J479:L479)/SUM(J479:M479)</f>
        <v/>
      </c>
      <c r="P479" s="5">
        <f>MAX(J479:L479)/SUM(J479:L479)</f>
        <v/>
      </c>
    </row>
    <row r="480">
      <c r="A480" t="inlineStr">
        <is>
          <t>Segundo año</t>
        </is>
      </c>
      <c r="B480" t="inlineStr">
        <is>
          <t>Segundo periodo</t>
        </is>
      </c>
      <c r="C480" t="n">
        <v>13</v>
      </c>
      <c r="D480" t="n">
        <v>478</v>
      </c>
      <c r="E480" s="3" t="n">
        <v>46058</v>
      </c>
      <c r="F480" t="inlineStr">
        <is>
          <t>Punto de Acuerdo</t>
        </is>
      </c>
      <c r="G480" t="inlineStr">
        <is>
          <t>Acuerdo por el que se exhorta a la Secretaría de Medio Ambiente, Desarrollo Sustentable y Ordenamiento Territorial</t>
        </is>
      </c>
      <c r="H480" t="n">
        <v>0</v>
      </c>
      <c r="I480" t="inlineStr">
        <is>
          <t>5</t>
        </is>
      </c>
      <c r="J480" t="n">
        <v>40</v>
      </c>
      <c r="K480" t="n">
        <v>0</v>
      </c>
      <c r="L480" t="n">
        <v>0</v>
      </c>
      <c r="M480" t="n">
        <v>1</v>
      </c>
      <c r="N480">
        <f>SUM(J480:M480)</f>
        <v/>
      </c>
      <c r="O480" s="4">
        <f>SUM(J480:L480)/SUM(J480:M480)</f>
        <v/>
      </c>
      <c r="P480" s="5">
        <f>MAX(J480:L480)/SUM(J480:L480)</f>
        <v/>
      </c>
    </row>
    <row r="481">
      <c r="A481" t="inlineStr">
        <is>
          <t>Segundo año</t>
        </is>
      </c>
      <c r="B481" t="inlineStr">
        <is>
          <t>Segundo periodo</t>
        </is>
      </c>
      <c r="C481" t="n">
        <v>14</v>
      </c>
      <c r="D481" t="n">
        <v>479</v>
      </c>
      <c r="E481" s="3" t="n">
        <v>46058</v>
      </c>
      <c r="F481" t="inlineStr">
        <is>
          <t>Punto de Acuerdo</t>
        </is>
      </c>
      <c r="G481" t="inlineStr">
        <is>
          <t>Acuerdo por el que se exhorta a los doscientos doce ayuntamientos y a los cinco concejos municipales del estado</t>
        </is>
      </c>
      <c r="H481" t="n">
        <v>0</v>
      </c>
      <c r="I481" t="inlineStr">
        <is>
          <t>11</t>
        </is>
      </c>
      <c r="J481" t="n">
        <v>40</v>
      </c>
      <c r="K481" t="n">
        <v>0</v>
      </c>
      <c r="L481" t="n">
        <v>0</v>
      </c>
      <c r="M481" t="n">
        <v>1</v>
      </c>
      <c r="N481">
        <f>SUM(J481:M481)</f>
        <v/>
      </c>
      <c r="O481" s="4">
        <f>SUM(J481:L481)/SUM(J481:M481)</f>
        <v/>
      </c>
      <c r="P481" s="5">
        <f>MAX(J481:L481)/SUM(J481:L481)</f>
        <v/>
      </c>
    </row>
    <row r="482">
      <c r="A482" t="inlineStr">
        <is>
          <t>Segundo año</t>
        </is>
      </c>
      <c r="B482" t="inlineStr">
        <is>
          <t>Segundo periodo</t>
        </is>
      </c>
      <c r="C482" t="n">
        <v>15</v>
      </c>
      <c r="D482" t="n">
        <v>480</v>
      </c>
      <c r="E482" s="3" t="n">
        <v>46058</v>
      </c>
      <c r="F482" t="inlineStr">
        <is>
          <t>Punto de Acuerdo</t>
        </is>
      </c>
      <c r="G482" t="inlineStr">
        <is>
          <t>Acuerdo por el que se exhorta al director general del Sistema Estatal para el Desarrollo Integral de la Familia</t>
        </is>
      </c>
      <c r="H482" t="n">
        <v>0</v>
      </c>
      <c r="I482" t="inlineStr">
        <is>
          <t>2</t>
        </is>
      </c>
      <c r="J482" t="n">
        <v>40</v>
      </c>
      <c r="K482" t="n">
        <v>0</v>
      </c>
      <c r="L482" t="n">
        <v>0</v>
      </c>
      <c r="M482" t="n">
        <v>1</v>
      </c>
      <c r="N482">
        <f>SUM(J482:M482)</f>
        <v/>
      </c>
      <c r="O482" s="4">
        <f>SUM(J482:L482)/SUM(J482:M482)</f>
        <v/>
      </c>
      <c r="P482" s="5">
        <f>MAX(J482:L482)/SUM(J482:L482)</f>
        <v/>
      </c>
    </row>
    <row r="483">
      <c r="A483" t="inlineStr">
        <is>
          <t>Segundo año</t>
        </is>
      </c>
      <c r="B483" t="inlineStr">
        <is>
          <t>Segundo periodo</t>
        </is>
      </c>
      <c r="C483" t="n">
        <v>16</v>
      </c>
      <c r="D483" t="n">
        <v>481</v>
      </c>
      <c r="E483" s="3" t="n">
        <v>46058</v>
      </c>
      <c r="F483" t="inlineStr">
        <is>
          <t>Punto de Acuerdo</t>
        </is>
      </c>
      <c r="G483" t="inlineStr">
        <is>
          <t>Acuerdo por el que se exhorta a los doscientos doce ayuntamientos y cinco concejos municipales del estado</t>
        </is>
      </c>
      <c r="H483" t="n">
        <v>0</v>
      </c>
      <c r="I483" t="inlineStr">
        <is>
          <t>20</t>
        </is>
      </c>
      <c r="J483" t="n">
        <v>40</v>
      </c>
      <c r="K483" t="n">
        <v>0</v>
      </c>
      <c r="L483" t="n">
        <v>0</v>
      </c>
      <c r="M483" t="n">
        <v>1</v>
      </c>
      <c r="N483">
        <f>SUM(J483:M483)</f>
        <v/>
      </c>
      <c r="O483" s="4">
        <f>SUM(J483:L483)/SUM(J483:M483)</f>
        <v/>
      </c>
      <c r="P483" s="5">
        <f>MAX(J483:L483)/SUM(J483:L483)</f>
        <v/>
      </c>
    </row>
    <row r="484">
      <c r="A484" t="inlineStr">
        <is>
          <t>Segundo año</t>
        </is>
      </c>
      <c r="B484" t="inlineStr">
        <is>
          <t>Segundo periodo</t>
        </is>
      </c>
      <c r="C484" t="n">
        <v>17</v>
      </c>
      <c r="D484" t="n">
        <v>482</v>
      </c>
      <c r="E484" s="3" t="n">
        <v>46058</v>
      </c>
      <c r="F484" t="inlineStr">
        <is>
          <t>Punto de Acuerdo</t>
        </is>
      </c>
      <c r="G484" t="inlineStr">
        <is>
          <t>Acuerdo por el cual se exhorta a los doscientos doce ayuntamientos y cinco concejos municipales del estado</t>
        </is>
      </c>
      <c r="H484" t="n">
        <v>0</v>
      </c>
      <c r="I484" t="inlineStr">
        <is>
          <t>10</t>
        </is>
      </c>
      <c r="J484" t="n">
        <v>41</v>
      </c>
      <c r="K484" t="n">
        <v>0</v>
      </c>
      <c r="L484" t="n">
        <v>0</v>
      </c>
      <c r="M484" t="n">
        <v>0</v>
      </c>
      <c r="N484">
        <f>SUM(J484:M484)</f>
        <v/>
      </c>
      <c r="O484" s="4">
        <f>SUM(J484:L484)/SUM(J484:M484)</f>
        <v/>
      </c>
      <c r="P484" s="5">
        <f>MAX(J484:L484)/SUM(J484:L484)</f>
        <v/>
      </c>
    </row>
    <row r="485">
      <c r="A485" t="inlineStr">
        <is>
          <t>Segundo año</t>
        </is>
      </c>
      <c r="B485" t="inlineStr">
        <is>
          <t>Segundo periodo</t>
        </is>
      </c>
      <c r="C485" t="n">
        <v>18</v>
      </c>
      <c r="D485" t="n">
        <v>483</v>
      </c>
      <c r="E485" s="3" t="n">
        <v>46058</v>
      </c>
      <c r="F485" t="inlineStr">
        <is>
          <t>Punto de Acuerdo</t>
        </is>
      </c>
      <c r="G485" t="inlineStr">
        <is>
          <t>Acuerdo por el cual se exhorta a los doscientos doce ayuntamientos y cinco concejos municipales del estado</t>
        </is>
      </c>
      <c r="H485" t="n">
        <v>0</v>
      </c>
      <c r="I485" t="inlineStr">
        <is>
          <t>11</t>
        </is>
      </c>
      <c r="J485" t="n">
        <v>41</v>
      </c>
      <c r="K485" t="n">
        <v>0</v>
      </c>
      <c r="L485" t="n">
        <v>0</v>
      </c>
      <c r="M485" t="n">
        <v>0</v>
      </c>
      <c r="N485">
        <f>SUM(J485:M485)</f>
        <v/>
      </c>
      <c r="O485" s="4">
        <f>SUM(J485:L485)/SUM(J485:M485)</f>
        <v/>
      </c>
      <c r="P485" s="5">
        <f>MAX(J485:L485)/SUM(J485:L485)</f>
        <v/>
      </c>
    </row>
    <row r="486">
      <c r="A486" t="inlineStr">
        <is>
          <t>Segundo año</t>
        </is>
      </c>
      <c r="B486" t="inlineStr">
        <is>
          <t>Segundo periodo</t>
        </is>
      </c>
      <c r="C486" t="n">
        <v>19</v>
      </c>
      <c r="D486" t="n">
        <v>484</v>
      </c>
      <c r="E486" s="3" t="n">
        <v>46058</v>
      </c>
      <c r="F486" t="inlineStr">
        <is>
          <t>Punto de Acuerdo</t>
        </is>
      </c>
      <c r="G486" t="inlineStr">
        <is>
          <t>Acuerdo por el cual se exhorta a los doscientos doce ayuntamientos y cinco concejos municipales del estado</t>
        </is>
      </c>
      <c r="H486" t="n">
        <v>0</v>
      </c>
      <c r="I486" t="inlineStr">
        <is>
          <t>11</t>
        </is>
      </c>
      <c r="J486" t="n">
        <v>41</v>
      </c>
      <c r="K486" t="n">
        <v>0</v>
      </c>
      <c r="L486" t="n">
        <v>0</v>
      </c>
      <c r="M486" t="n">
        <v>0</v>
      </c>
      <c r="N486">
        <f>SUM(J486:M486)</f>
        <v/>
      </c>
      <c r="O486" s="4">
        <f>SUM(J486:L486)/SUM(J486:M486)</f>
        <v/>
      </c>
      <c r="P486" s="5">
        <f>MAX(J486:L486)/SUM(J486:L486)</f>
        <v/>
      </c>
    </row>
    <row r="487">
      <c r="A487" t="inlineStr">
        <is>
          <t>Segundo año</t>
        </is>
      </c>
      <c r="B487" t="inlineStr">
        <is>
          <t>Segundo periodo</t>
        </is>
      </c>
      <c r="C487" t="n">
        <v>20</v>
      </c>
      <c r="D487" t="n">
        <v>485</v>
      </c>
      <c r="E487" s="3" t="n">
        <v>46058</v>
      </c>
      <c r="F487" t="inlineStr">
        <is>
          <t>Punto de Acuerdo</t>
        </is>
      </c>
      <c r="G487" t="inlineStr">
        <is>
          <t>Acuerdo por el cual se exhorta a la Comisión Nacional de Derechos Humanos y al Instituto Nacional de las Personas Adultas Mayores</t>
        </is>
      </c>
      <c r="H487" t="n">
        <v>0</v>
      </c>
      <c r="I487" t="inlineStr">
        <is>
          <t>2</t>
        </is>
      </c>
      <c r="J487" t="n">
        <v>41</v>
      </c>
      <c r="K487" t="n">
        <v>0</v>
      </c>
      <c r="L487" t="n">
        <v>0</v>
      </c>
      <c r="M487" t="n">
        <v>0</v>
      </c>
      <c r="N487">
        <f>SUM(J487:M487)</f>
        <v/>
      </c>
      <c r="O487" s="4">
        <f>SUM(J487:L487)/SUM(J487:M487)</f>
        <v/>
      </c>
      <c r="P487" s="5">
        <f>MAX(J487:L487)/SUM(J487:L487)</f>
        <v/>
      </c>
    </row>
    <row r="488">
      <c r="A488" t="inlineStr">
        <is>
          <t>Segundo año</t>
        </is>
      </c>
      <c r="B488" t="inlineStr">
        <is>
          <t>Segundo periodo</t>
        </is>
      </c>
      <c r="C488" t="n">
        <v>21</v>
      </c>
      <c r="D488" t="n">
        <v>486</v>
      </c>
      <c r="E488" s="3" t="n">
        <v>46058</v>
      </c>
      <c r="F488" t="inlineStr">
        <is>
          <t>Punto de Acuerdo</t>
        </is>
      </c>
      <c r="G488" t="inlineStr">
        <is>
          <t>Acuerdo por el cual se exhorta al Instituto Poblano de Atención al Migrante</t>
        </is>
      </c>
      <c r="H488" t="n">
        <v>0</v>
      </c>
      <c r="I488" t="inlineStr">
        <is>
          <t>9</t>
        </is>
      </c>
      <c r="J488" t="n">
        <v>41</v>
      </c>
      <c r="K488" t="n">
        <v>0</v>
      </c>
      <c r="L488" t="n">
        <v>0</v>
      </c>
      <c r="M488" t="n">
        <v>0</v>
      </c>
      <c r="N488">
        <f>SUM(J488:M488)</f>
        <v/>
      </c>
      <c r="O488" s="4">
        <f>SUM(J488:L488)/SUM(J488:M488)</f>
        <v/>
      </c>
      <c r="P488" s="5">
        <f>MAX(J488:L488)/SUM(J488:L488)</f>
        <v/>
      </c>
    </row>
    <row r="489">
      <c r="A489" t="inlineStr">
        <is>
          <t>Segundo año</t>
        </is>
      </c>
      <c r="B489" t="inlineStr">
        <is>
          <t>Segundo periodo</t>
        </is>
      </c>
      <c r="C489" t="n">
        <v>22</v>
      </c>
      <c r="D489" t="n">
        <v>487</v>
      </c>
      <c r="E489" s="3" t="n">
        <v>46058</v>
      </c>
      <c r="F489" t="inlineStr">
        <is>
          <t>Punto de Acuerdo</t>
        </is>
      </c>
      <c r="G489" t="inlineStr">
        <is>
          <t>Acuerdo por el cual se exhorta a la Fiscalía General del Estado</t>
        </is>
      </c>
      <c r="H489" t="n">
        <v>0</v>
      </c>
      <c r="I489" t="inlineStr">
        <is>
          <t>20</t>
        </is>
      </c>
      <c r="J489" t="n">
        <v>41</v>
      </c>
      <c r="K489" t="n">
        <v>0</v>
      </c>
      <c r="L489" t="n">
        <v>0</v>
      </c>
      <c r="M489" t="n">
        <v>0</v>
      </c>
      <c r="N489">
        <f>SUM(J489:M489)</f>
        <v/>
      </c>
      <c r="O489" s="4">
        <f>SUM(J489:L489)/SUM(J489:M489)</f>
        <v/>
      </c>
      <c r="P489" s="5">
        <f>MAX(J489:L489)/SUM(J489:L489)</f>
        <v/>
      </c>
    </row>
    <row r="490">
      <c r="A490" t="inlineStr">
        <is>
          <t>Segundo año</t>
        </is>
      </c>
      <c r="B490" t="inlineStr">
        <is>
          <t>Segundo periodo</t>
        </is>
      </c>
      <c r="C490" t="n">
        <v>23</v>
      </c>
      <c r="D490" t="n">
        <v>488</v>
      </c>
      <c r="E490" s="3" t="n">
        <v>46058</v>
      </c>
      <c r="F490" t="inlineStr">
        <is>
          <t>Punto de Acuerdo</t>
        </is>
      </c>
      <c r="G490" t="inlineStr">
        <is>
          <t>Acuerdo por el cual se exhorta al Honorable Tribunal Superior de Justicia del estado</t>
        </is>
      </c>
      <c r="H490" t="n">
        <v>0</v>
      </c>
      <c r="I490" t="inlineStr">
        <is>
          <t>20</t>
        </is>
      </c>
      <c r="J490" t="n">
        <v>41</v>
      </c>
      <c r="K490" t="n">
        <v>0</v>
      </c>
      <c r="L490" t="n">
        <v>0</v>
      </c>
      <c r="M490" t="n">
        <v>0</v>
      </c>
      <c r="N490">
        <f>SUM(J490:M490)</f>
        <v/>
      </c>
      <c r="O490" s="4">
        <f>SUM(J490:L490)/SUM(J490:M490)</f>
        <v/>
      </c>
      <c r="P490" s="5">
        <f>MAX(J490:L490)/SUM(J490:L490)</f>
        <v/>
      </c>
    </row>
    <row r="491">
      <c r="A491" t="inlineStr">
        <is>
          <t>Segundo año</t>
        </is>
      </c>
      <c r="B491" t="inlineStr">
        <is>
          <t>Segundo periodo</t>
        </is>
      </c>
      <c r="C491" t="n">
        <v>24</v>
      </c>
      <c r="D491" t="n">
        <v>489</v>
      </c>
      <c r="E491" s="3" t="n">
        <v>46065</v>
      </c>
      <c r="F491" t="inlineStr">
        <is>
          <t>Iniciativa</t>
        </is>
      </c>
      <c r="G491" t="inlineStr">
        <is>
          <t>Dictamen con minuta de decreto por el cual se autoriza al honorable ayuntamiento del municipio de , , la enajenación bajo la figura de donación a título gratuito de una superficie de 3,209.56 metros cuadrados a favor del organismo público descentralizado de la administración pública municipal denominado “sistema municipal dif”, para el proyecto de construcción del “centro de educación especial” impulsado por el sistema municipal dif con apoyo de la fundación nissan</t>
        </is>
      </c>
      <c r="H491" t="n">
        <v>7</v>
      </c>
      <c r="I491" t="inlineStr">
        <is>
          <t>Impuestos, Finanzas Públicas, Patrimonio estatal y municipal</t>
        </is>
      </c>
      <c r="J491" t="n">
        <v>34</v>
      </c>
      <c r="K491" t="n">
        <v>0</v>
      </c>
      <c r="L491" t="n">
        <v>0</v>
      </c>
      <c r="M491" t="n">
        <v>0</v>
      </c>
      <c r="N491">
        <f>SUM(J491:M491)</f>
        <v/>
      </c>
      <c r="O491" s="4">
        <f>SUM(J491:L491)/SUM(J491:M491)</f>
        <v/>
      </c>
      <c r="P491" s="5">
        <f>MAX(J491:L491)/SUM(J491:L491)</f>
        <v/>
      </c>
    </row>
    <row r="492">
      <c r="A492" t="inlineStr">
        <is>
          <t>Segundo año</t>
        </is>
      </c>
      <c r="B492" t="inlineStr">
        <is>
          <t>Segundo periodo</t>
        </is>
      </c>
      <c r="C492" t="n">
        <v>25</v>
      </c>
      <c r="D492" t="n">
        <v>490</v>
      </c>
      <c r="E492" s="3" t="n">
        <v>46072</v>
      </c>
      <c r="F492" t="inlineStr">
        <is>
          <t>Iniciativa</t>
        </is>
      </c>
      <c r="G492" t="inlineStr">
        <is>
          <t>Dictamen con minuta de decreto por el cual se reforma el decreto del honorable congreso del estado por el que se declara “heroico municipio de xochiapulco”</t>
        </is>
      </c>
      <c r="H492" t="n">
        <v>18</v>
      </c>
      <c r="I492" t="inlineStr">
        <is>
          <t>Administración Pública</t>
        </is>
      </c>
      <c r="J492" t="n">
        <v>36</v>
      </c>
      <c r="K492" t="n">
        <v>0</v>
      </c>
      <c r="L492" t="n">
        <v>0</v>
      </c>
      <c r="M492" t="n">
        <v>5</v>
      </c>
      <c r="N492">
        <f>SUM(J492:M492)</f>
        <v/>
      </c>
      <c r="O492" s="4">
        <f>SUM(J492:L492)/SUM(J492:M492)</f>
        <v/>
      </c>
      <c r="P492" s="5">
        <f>MAX(J492:L492)/SUM(J492:L492)</f>
        <v/>
      </c>
    </row>
    <row r="493">
      <c r="A493" t="inlineStr">
        <is>
          <t>Segundo año</t>
        </is>
      </c>
      <c r="B493" t="inlineStr">
        <is>
          <t>Segundo periodo</t>
        </is>
      </c>
      <c r="C493" t="n">
        <v>26</v>
      </c>
      <c r="D493" t="n">
        <v>491</v>
      </c>
      <c r="E493" s="3" t="n">
        <v>46072</v>
      </c>
      <c r="F493" t="inlineStr">
        <is>
          <t>Iniciativa</t>
        </is>
      </c>
      <c r="G493" t="inlineStr">
        <is>
          <t>Dictamen con minuta de decreto por el cual se declara “heroica ciudad de libres”</t>
        </is>
      </c>
      <c r="H493" t="n">
        <v>18</v>
      </c>
      <c r="I493" t="inlineStr">
        <is>
          <t>Administración Pública</t>
        </is>
      </c>
      <c r="J493" t="n">
        <v>36</v>
      </c>
      <c r="K493" t="n">
        <v>0</v>
      </c>
      <c r="L493" t="n">
        <v>0</v>
      </c>
      <c r="M493" t="n">
        <v>5</v>
      </c>
      <c r="N493">
        <f>SUM(J493:M493)</f>
        <v/>
      </c>
      <c r="O493" s="4">
        <f>SUM(J493:L493)/SUM(J493:M493)</f>
        <v/>
      </c>
      <c r="P493" s="5">
        <f>MAX(J493:L493)/SUM(J493:L493)</f>
        <v/>
      </c>
    </row>
    <row r="494">
      <c r="A494" t="inlineStr">
        <is>
          <t>Segundo año</t>
        </is>
      </c>
      <c r="B494" t="inlineStr">
        <is>
          <t>Segundo periodo</t>
        </is>
      </c>
      <c r="C494" t="n">
        <v>27</v>
      </c>
      <c r="D494" t="n">
        <v>492</v>
      </c>
      <c r="E494" s="3" t="n">
        <v>46072</v>
      </c>
      <c r="F494" t="inlineStr">
        <is>
          <t>Punto de Acuerdo</t>
        </is>
      </c>
      <c r="G494" t="inlineStr">
        <is>
          <t>Acuerdo por el que se exhorta a la secretaría de desarrollo económico y trabajo; y a la secretaría de las mujeres, ambas del estado</t>
        </is>
      </c>
      <c r="H494" t="n">
        <v>6</v>
      </c>
      <c r="I494" t="inlineStr">
        <is>
          <t>Salud</t>
        </is>
      </c>
      <c r="J494" t="n">
        <v>36</v>
      </c>
      <c r="K494" t="n">
        <v>0</v>
      </c>
      <c r="L494" t="n">
        <v>0</v>
      </c>
      <c r="M494" t="n">
        <v>5</v>
      </c>
      <c r="N494">
        <f>SUM(J494:M494)</f>
        <v/>
      </c>
      <c r="O494" s="4">
        <f>SUM(J494:L494)/SUM(J494:M494)</f>
        <v/>
      </c>
      <c r="P494" s="5">
        <f>MAX(J494:L494)/SUM(J494:L494)</f>
        <v/>
      </c>
    </row>
    <row r="495">
      <c r="A495" t="inlineStr">
        <is>
          <t>Segundo año</t>
        </is>
      </c>
      <c r="B495" t="inlineStr">
        <is>
          <t>Segundo periodo</t>
        </is>
      </c>
      <c r="C495" t="n">
        <v>28</v>
      </c>
      <c r="D495" t="n">
        <v>493</v>
      </c>
      <c r="E495" s="3" t="n">
        <v>46072</v>
      </c>
      <c r="F495" t="inlineStr">
        <is>
          <t>Punto de Acuerdo</t>
        </is>
      </c>
      <c r="G495" t="inlineStr">
        <is>
          <t>Acuerdo por el que se exhorta a la secretaría de desarrollo económico y trabajo del estado</t>
        </is>
      </c>
      <c r="H495" t="n">
        <v>16</v>
      </c>
      <c r="I495" t="inlineStr">
        <is>
          <t>Trabajo y Previsión Social</t>
        </is>
      </c>
      <c r="J495" t="n">
        <v>36</v>
      </c>
      <c r="K495" t="n">
        <v>0</v>
      </c>
      <c r="L495" t="n">
        <v>0</v>
      </c>
      <c r="M495" t="n">
        <v>5</v>
      </c>
      <c r="N495">
        <f>SUM(J495:M495)</f>
        <v/>
      </c>
      <c r="O495" s="4">
        <f>SUM(J495:L495)/SUM(J495:M495)</f>
        <v/>
      </c>
      <c r="P495" s="5">
        <f>MAX(J495:L495)/SUM(J495:L495)</f>
        <v/>
      </c>
    </row>
    <row r="496">
      <c r="A496" t="inlineStr">
        <is>
          <t>Segundo año</t>
        </is>
      </c>
      <c r="B496" t="inlineStr">
        <is>
          <t>Segundo periodo</t>
        </is>
      </c>
      <c r="C496" t="n">
        <v>29</v>
      </c>
      <c r="D496" t="n">
        <v>494</v>
      </c>
      <c r="E496" s="3" t="n">
        <v>46072</v>
      </c>
      <c r="F496" t="inlineStr">
        <is>
          <t>Punto de Acuerdo</t>
        </is>
      </c>
      <c r="G496" t="inlineStr">
        <is>
          <t>Acuerdo por el que se exhorta a la secretaría de medio ambiente, desarrollo sustentable y ordenamiento territorial del estado</t>
        </is>
      </c>
      <c r="H496" t="n">
        <v>5</v>
      </c>
      <c r="I496" t="inlineStr">
        <is>
          <t>Medio Ambiente</t>
        </is>
      </c>
      <c r="J496" t="n">
        <v>38</v>
      </c>
      <c r="K496" t="n">
        <v>0</v>
      </c>
      <c r="L496" t="n">
        <v>0</v>
      </c>
      <c r="M496" t="n">
        <v>3</v>
      </c>
      <c r="N496">
        <f>SUM(J496:M496)</f>
        <v/>
      </c>
      <c r="O496" s="4">
        <f>SUM(J496:L496)/SUM(J496:M496)</f>
        <v/>
      </c>
      <c r="P496" s="5">
        <f>MAX(J496:L496)/SUM(J496:L496)</f>
        <v/>
      </c>
    </row>
    <row r="497">
      <c r="A497" t="inlineStr">
        <is>
          <t>Segundo año</t>
        </is>
      </c>
      <c r="B497" t="inlineStr">
        <is>
          <t>Segundo periodo</t>
        </is>
      </c>
      <c r="C497" t="n">
        <v>30</v>
      </c>
      <c r="D497" t="n">
        <v>495</v>
      </c>
      <c r="E497" s="3" t="n">
        <v>46072</v>
      </c>
      <c r="F497" t="inlineStr">
        <is>
          <t>Punto de Acuerdo</t>
        </is>
      </c>
      <c r="G497" t="inlineStr">
        <is>
          <t>Acuerdo por el que se exhorta a la coordinación general de protección civil y gestión del riesgo de desastres</t>
        </is>
      </c>
      <c r="H497" t="n">
        <v>3</v>
      </c>
      <c r="I497" t="inlineStr">
        <is>
          <t>Seguridad Pública, Protección Civil y Narcotráfico</t>
        </is>
      </c>
      <c r="J497" t="n">
        <v>38</v>
      </c>
      <c r="K497" t="n">
        <v>0</v>
      </c>
      <c r="L497" t="n">
        <v>0</v>
      </c>
      <c r="M497" t="n">
        <v>3</v>
      </c>
      <c r="N497">
        <f>SUM(J497:M497)</f>
        <v/>
      </c>
      <c r="O497" s="4">
        <f>SUM(J497:L497)/SUM(J497:M497)</f>
        <v/>
      </c>
      <c r="P497" s="5">
        <f>MAX(J497:L497)/SUM(J497:L497)</f>
        <v/>
      </c>
    </row>
    <row r="498">
      <c r="A498" t="inlineStr">
        <is>
          <t>Segundo año</t>
        </is>
      </c>
      <c r="B498" t="inlineStr">
        <is>
          <t>Segundo periodo</t>
        </is>
      </c>
      <c r="C498" t="n">
        <v>31</v>
      </c>
      <c r="D498" t="n">
        <v>496</v>
      </c>
      <c r="E498" s="3" t="n">
        <v>46072</v>
      </c>
      <c r="F498" t="inlineStr">
        <is>
          <t>Punto de Acuerdo</t>
        </is>
      </c>
      <c r="G498" t="inlineStr">
        <is>
          <t>Acuerdo por el que se exhorta a la coordinación general de protección civil y gestión del riesgo de desastres, así como al centro integral de gestión de riesgos y protección civil del ayuntamiento de san martín texmelucan</t>
        </is>
      </c>
      <c r="H498" t="n">
        <v>3</v>
      </c>
      <c r="I498" t="inlineStr">
        <is>
          <t>Seguridad Pública, Protección Civil y Narcotráfico</t>
        </is>
      </c>
      <c r="J498" t="n">
        <v>38</v>
      </c>
      <c r="K498" t="n">
        <v>0</v>
      </c>
      <c r="L498" t="n">
        <v>0</v>
      </c>
      <c r="M498" t="n">
        <v>3</v>
      </c>
      <c r="N498">
        <f>SUM(J498:M498)</f>
        <v/>
      </c>
      <c r="O498" s="4">
        <f>SUM(J498:L498)/SUM(J498:M498)</f>
        <v/>
      </c>
      <c r="P498" s="5">
        <f>MAX(J498:L498)/SUM(J498:L498)</f>
        <v/>
      </c>
    </row>
    <row r="499">
      <c r="A499" t="inlineStr">
        <is>
          <t>Segundo año</t>
        </is>
      </c>
      <c r="B499" t="inlineStr">
        <is>
          <t>Segundo periodo</t>
        </is>
      </c>
      <c r="C499" t="n">
        <v>32</v>
      </c>
      <c r="D499" t="n">
        <v>497</v>
      </c>
      <c r="E499" s="3" t="n">
        <v>46072</v>
      </c>
      <c r="F499" t="inlineStr">
        <is>
          <t>Punto de Acuerdo</t>
        </is>
      </c>
      <c r="G499" t="inlineStr">
        <is>
          <t>Acuerdo por el que se exhorta a la secretaría de arte y cultura del estado</t>
        </is>
      </c>
      <c r="H499" t="n">
        <v>8</v>
      </c>
      <c r="I499" t="inlineStr">
        <is>
          <t>Educación y Cultura</t>
        </is>
      </c>
      <c r="J499" t="n">
        <v>38</v>
      </c>
      <c r="K499" t="n">
        <v>0</v>
      </c>
      <c r="L499" t="n">
        <v>0</v>
      </c>
      <c r="M499" t="n">
        <v>3</v>
      </c>
      <c r="N499">
        <f>SUM(J499:M499)</f>
        <v/>
      </c>
      <c r="O499" s="4">
        <f>SUM(J499:L499)/SUM(J499:M499)</f>
        <v/>
      </c>
      <c r="P499" s="5">
        <f>MAX(J499:L499)/SUM(J499:L499)</f>
        <v/>
      </c>
    </row>
    <row r="500">
      <c r="A500" t="inlineStr">
        <is>
          <t>Segundo año</t>
        </is>
      </c>
      <c r="B500" t="inlineStr">
        <is>
          <t>Segundo periodo</t>
        </is>
      </c>
      <c r="C500" t="n">
        <v>33</v>
      </c>
      <c r="D500" t="n">
        <v>498</v>
      </c>
      <c r="E500" s="3" t="n">
        <v>46078</v>
      </c>
      <c r="F500" t="inlineStr">
        <is>
          <t>Iniciativa</t>
        </is>
      </c>
      <c r="G500" t="inlineStr">
        <is>
          <t>Dictamen con minuta Proyecto de decreto por el cual se reforman las fracciones IV y XI del apartado A del artículo 123 de la Constitución Política de los Estados Unidos Mexicanos, en materia de reducción de la jornada laboral</t>
        </is>
      </c>
      <c r="H500" t="n">
        <v>16</v>
      </c>
      <c r="I500" t="inlineStr">
        <is>
          <t>Trabajo y Previsión Social</t>
        </is>
      </c>
      <c r="J500" t="n">
        <v>40</v>
      </c>
      <c r="K500" t="n">
        <v>0</v>
      </c>
      <c r="L500" t="n">
        <v>0</v>
      </c>
      <c r="M500" t="n">
        <v>1</v>
      </c>
      <c r="N500">
        <f>SUM(J500:M500)</f>
        <v/>
      </c>
      <c r="O500" s="4">
        <f>SUM(J500:L500)/SUM(J500:M500)</f>
        <v/>
      </c>
      <c r="P500" s="5">
        <f>MAX(J500:L500)/SUM(J500:L500)</f>
        <v/>
      </c>
    </row>
    <row r="501">
      <c r="A501" t="inlineStr">
        <is>
          <t>Segundo año</t>
        </is>
      </c>
      <c r="B501" t="inlineStr">
        <is>
          <t>Segundo periodo</t>
        </is>
      </c>
      <c r="C501" t="n">
        <v>34</v>
      </c>
      <c r="D501" t="n">
        <v>499</v>
      </c>
      <c r="E501" s="3" t="n">
        <v>46078</v>
      </c>
      <c r="F501" t="inlineStr">
        <is>
          <t>Iniciativa</t>
        </is>
      </c>
      <c r="G501" t="inlineStr">
        <is>
          <t>Dictamen con minuta de decreto por el cual se reforman las fracciones VII del artículo 4 y la VII del artículo 8 de la Ley Orgánica de la Fiscalía General del Estado</t>
        </is>
      </c>
      <c r="H501" t="n">
        <v>14</v>
      </c>
      <c r="I501" t="inlineStr">
        <is>
          <t>Justicia y Estado de Derecho</t>
        </is>
      </c>
      <c r="J501" t="n">
        <v>40</v>
      </c>
      <c r="K501" t="n">
        <v>0</v>
      </c>
      <c r="L501" t="n">
        <v>0</v>
      </c>
      <c r="M501" t="n">
        <v>1</v>
      </c>
      <c r="N501">
        <f>SUM(J501:M501)</f>
        <v/>
      </c>
      <c r="O501" s="4">
        <f>SUM(J501:L501)/SUM(J501:M501)</f>
        <v/>
      </c>
      <c r="P501" s="5">
        <f>MAX(J501:L501)/SUM(J501:L501)</f>
        <v/>
      </c>
    </row>
    <row r="502">
      <c r="A502" t="inlineStr">
        <is>
          <t>Segundo año</t>
        </is>
      </c>
      <c r="B502" t="inlineStr">
        <is>
          <t>Segundo periodo</t>
        </is>
      </c>
      <c r="C502" t="n">
        <v>35</v>
      </c>
      <c r="D502" t="n">
        <v>500</v>
      </c>
      <c r="E502" s="3" t="n">
        <v>46078</v>
      </c>
      <c r="F502" t="inlineStr">
        <is>
          <t>Punto de Acuerdo</t>
        </is>
      </c>
      <c r="G502" t="inlineStr">
        <is>
          <t>Acuerdo por el que se exhorta a la Fiscalía General del Estado</t>
        </is>
      </c>
      <c r="H502" t="n">
        <v>14</v>
      </c>
      <c r="I502" t="inlineStr">
        <is>
          <t>Justicia y Estado de Derecho</t>
        </is>
      </c>
      <c r="J502" t="n">
        <v>40</v>
      </c>
      <c r="K502" t="n">
        <v>0</v>
      </c>
      <c r="L502" t="n">
        <v>0</v>
      </c>
      <c r="M502" t="n">
        <v>1</v>
      </c>
      <c r="N502">
        <f>SUM(J502:M502)</f>
        <v/>
      </c>
      <c r="O502" s="4">
        <f>SUM(J502:L502)/SUM(J502:M502)</f>
        <v/>
      </c>
      <c r="P502" s="5">
        <f>MAX(J502:L502)/SUM(J502:L502)</f>
        <v/>
      </c>
    </row>
    <row r="503">
      <c r="A503" t="inlineStr">
        <is>
          <t>Segundo año</t>
        </is>
      </c>
      <c r="B503" t="inlineStr">
        <is>
          <t>Segundo periodo</t>
        </is>
      </c>
      <c r="C503" t="n">
        <v>36</v>
      </c>
      <c r="D503" t="n">
        <v>501</v>
      </c>
      <c r="E503" s="3" t="n">
        <v>46078</v>
      </c>
      <c r="F503" t="inlineStr">
        <is>
          <t>Punto de Acuerdo</t>
        </is>
      </c>
      <c r="G503" t="inlineStr">
        <is>
          <t>Acuerdo por el que se exhorta a la Secretaría de Movilidad y Transporte y a la Secretaría de Educación Pública</t>
        </is>
      </c>
      <c r="H503" t="n">
        <v>11</v>
      </c>
      <c r="I503" t="inlineStr">
        <is>
          <t>Infraestructura, Movilidad y Transporte</t>
        </is>
      </c>
      <c r="J503" t="n">
        <v>40</v>
      </c>
      <c r="K503" t="n">
        <v>0</v>
      </c>
      <c r="L503" t="n">
        <v>0</v>
      </c>
      <c r="M503" t="n">
        <v>1</v>
      </c>
      <c r="N503">
        <f>SUM(J503:M503)</f>
        <v/>
      </c>
      <c r="O503" s="4">
        <f>SUM(J503:L503)/SUM(J503:M503)</f>
        <v/>
      </c>
      <c r="P503" s="5">
        <f>MAX(J503:L503)/SUM(J503:L503)</f>
        <v/>
      </c>
    </row>
    <row r="504">
      <c r="A504" t="inlineStr">
        <is>
          <t>Segundo año</t>
        </is>
      </c>
      <c r="B504" t="inlineStr">
        <is>
          <t>Segundo periodo</t>
        </is>
      </c>
      <c r="C504" t="n">
        <v>37</v>
      </c>
      <c r="D504" t="n">
        <v>502</v>
      </c>
      <c r="E504" s="3" t="n">
        <v>46078</v>
      </c>
      <c r="F504" t="inlineStr">
        <is>
          <t>Punto de Acuerdo</t>
        </is>
      </c>
      <c r="G504" t="inlineStr">
        <is>
          <t>Acuerdo por el que se exhorta al Sistema Estatal para el Desarrollo Integral de la Familia</t>
        </is>
      </c>
      <c r="H504" t="n">
        <v>2</v>
      </c>
      <c r="I504" t="inlineStr">
        <is>
          <t>Pobreza y Política Social</t>
        </is>
      </c>
      <c r="J504" t="n">
        <v>40</v>
      </c>
      <c r="K504" t="n">
        <v>0</v>
      </c>
      <c r="L504" t="n">
        <v>0</v>
      </c>
      <c r="M504" t="n">
        <v>1</v>
      </c>
      <c r="N504">
        <f>SUM(J504:M504)</f>
        <v/>
      </c>
      <c r="O504" s="4">
        <f>SUM(J504:L504)/SUM(J504:M504)</f>
        <v/>
      </c>
      <c r="P504" s="5">
        <f>MAX(J504:L504)/SUM(J504:L504)</f>
        <v/>
      </c>
    </row>
    <row r="505">
      <c r="A505" t="inlineStr">
        <is>
          <t>Segundo año</t>
        </is>
      </c>
      <c r="B505" t="inlineStr">
        <is>
          <t>Segundo periodo</t>
        </is>
      </c>
      <c r="C505" t="n">
        <v>38</v>
      </c>
      <c r="D505" t="n">
        <v>503</v>
      </c>
      <c r="E505" s="3" t="n">
        <v>46078</v>
      </c>
      <c r="F505" t="inlineStr">
        <is>
          <t>Punto de Acuerdo</t>
        </is>
      </c>
      <c r="G505" t="inlineStr">
        <is>
          <t>Acuerdo por el que se exhorta a la Secretaría de Educación Pública del Estado</t>
        </is>
      </c>
      <c r="H505" t="n">
        <v>8</v>
      </c>
      <c r="I505" t="inlineStr">
        <is>
          <t>Educación y Cultura</t>
        </is>
      </c>
      <c r="J505" t="n">
        <v>40</v>
      </c>
      <c r="K505" t="n">
        <v>0</v>
      </c>
      <c r="L505" t="n">
        <v>0</v>
      </c>
      <c r="M505" t="n">
        <v>1</v>
      </c>
      <c r="N505">
        <f>SUM(J505:M505)</f>
        <v/>
      </c>
      <c r="O505" s="4">
        <f>SUM(J505:L505)/SUM(J505:M505)</f>
        <v/>
      </c>
      <c r="P505" s="5">
        <f>MAX(J505:L505)/SUM(J505:L505)</f>
        <v/>
      </c>
    </row>
    <row r="506">
      <c r="A506" t="inlineStr">
        <is>
          <t>Segundo año</t>
        </is>
      </c>
      <c r="B506" t="inlineStr">
        <is>
          <t>Segundo periodo</t>
        </is>
      </c>
      <c r="C506" t="n">
        <v>39</v>
      </c>
      <c r="D506" t="n">
        <v>504</v>
      </c>
      <c r="E506" s="3" t="n">
        <v>46078</v>
      </c>
      <c r="F506" t="inlineStr">
        <is>
          <t>Punto de Acuerdo</t>
        </is>
      </c>
      <c r="G506" t="inlineStr">
        <is>
          <t>Acuerdo por el que se exhorta a la Secretaría de Educación Pública</t>
        </is>
      </c>
      <c r="H506" t="n">
        <v>8</v>
      </c>
      <c r="I506" t="inlineStr">
        <is>
          <t>Educación y Cultura</t>
        </is>
      </c>
      <c r="J506" t="n">
        <v>40</v>
      </c>
      <c r="K506" t="n">
        <v>0</v>
      </c>
      <c r="L506" t="n">
        <v>0</v>
      </c>
      <c r="M506" t="n">
        <v>1</v>
      </c>
      <c r="N506">
        <f>SUM(J506:M506)</f>
        <v/>
      </c>
      <c r="O506" s="4">
        <f>SUM(J506:L506)/SUM(J506:M506)</f>
        <v/>
      </c>
      <c r="P506" s="5">
        <f>MAX(J506:L506)/SUM(J506:L506)</f>
        <v/>
      </c>
    </row>
    <row r="507">
      <c r="A507" t="inlineStr">
        <is>
          <t>Segundo año</t>
        </is>
      </c>
      <c r="B507" t="inlineStr">
        <is>
          <t>Segundo periodo</t>
        </is>
      </c>
      <c r="C507" t="n">
        <v>40</v>
      </c>
      <c r="D507" t="n">
        <v>505</v>
      </c>
      <c r="E507" s="3" t="n">
        <v>46078</v>
      </c>
      <c r="F507" t="inlineStr">
        <is>
          <t>Punto de Acuerdo</t>
        </is>
      </c>
      <c r="G507" t="inlineStr">
        <is>
          <t>Acuerdo por el que se exhorta a las personas titulares del Poder Ejecutivo y otras instituciones</t>
        </is>
      </c>
      <c r="H507" t="n">
        <v>20</v>
      </c>
      <c r="I507" t="inlineStr">
        <is>
          <t>Justicia y Estado de Derecho en temas de Mujeres</t>
        </is>
      </c>
      <c r="J507" t="n">
        <v>35</v>
      </c>
      <c r="K507" t="n">
        <v>0</v>
      </c>
      <c r="L507" t="n">
        <v>5</v>
      </c>
      <c r="M507" t="n">
        <v>1</v>
      </c>
      <c r="N507">
        <f>SUM(J507:M507)</f>
        <v/>
      </c>
      <c r="O507" s="4">
        <f>SUM(J507:L507)/SUM(J507:M507)</f>
        <v/>
      </c>
      <c r="P507" s="5">
        <f>MAX(J507:L507)/SUM(J507:L507)</f>
        <v/>
      </c>
    </row>
    <row r="508">
      <c r="A508" t="inlineStr">
        <is>
          <t>Segundo año</t>
        </is>
      </c>
      <c r="B508" t="inlineStr">
        <is>
          <t>Segundo periodo</t>
        </is>
      </c>
      <c r="C508" t="n">
        <v>41</v>
      </c>
      <c r="D508" t="n">
        <v>506</v>
      </c>
      <c r="E508" s="3" t="n">
        <v>46078</v>
      </c>
      <c r="F508" t="inlineStr">
        <is>
          <t>Punto de Acuerdo</t>
        </is>
      </c>
      <c r="G508" t="inlineStr">
        <is>
          <t>Acuerdo por el que se exhorta a los doscientos doce ayuntamientos y cinco concejos municipales del estado</t>
        </is>
      </c>
      <c r="H508" t="n">
        <v>18</v>
      </c>
      <c r="I508" t="inlineStr">
        <is>
          <t>Administración Pública</t>
        </is>
      </c>
      <c r="J508" t="n">
        <v>40</v>
      </c>
      <c r="K508" t="n">
        <v>0</v>
      </c>
      <c r="L508" t="n">
        <v>0</v>
      </c>
      <c r="M508" t="n">
        <v>1</v>
      </c>
      <c r="N508">
        <f>SUM(J508:M508)</f>
        <v/>
      </c>
      <c r="O508" s="4">
        <f>SUM(J508:L508)/SUM(J508:M508)</f>
        <v/>
      </c>
      <c r="P508" s="5">
        <f>MAX(J508:L508)/SUM(J508:L508)</f>
        <v/>
      </c>
    </row>
    <row r="509">
      <c r="A509" t="inlineStr">
        <is>
          <t>Segundo año</t>
        </is>
      </c>
      <c r="B509" t="inlineStr">
        <is>
          <t>Segundo periodo</t>
        </is>
      </c>
      <c r="C509" t="n">
        <v>42</v>
      </c>
      <c r="D509" t="n">
        <v>507</v>
      </c>
      <c r="E509" s="3" t="n">
        <v>46078</v>
      </c>
      <c r="F509" t="inlineStr">
        <is>
          <t>Punto de Acuerdo</t>
        </is>
      </c>
      <c r="G509" t="inlineStr">
        <is>
          <t>Acuerdo por el que se exhorta a la Secretaría de Desarrollo Económico y Trabajo, y a la Secretaría de las Mujeres</t>
        </is>
      </c>
      <c r="H509" t="n">
        <v>1</v>
      </c>
      <c r="I509" t="inlineStr">
        <is>
          <t>Economía, Comercio y Competitividad</t>
        </is>
      </c>
      <c r="J509" t="n">
        <v>40</v>
      </c>
      <c r="K509" t="n">
        <v>0</v>
      </c>
      <c r="L509" t="n">
        <v>0</v>
      </c>
      <c r="M509" t="n">
        <v>1</v>
      </c>
      <c r="N509">
        <f>SUM(J509:M509)</f>
        <v/>
      </c>
      <c r="O509" s="4">
        <f>SUM(J509:L509)/SUM(J509:M509)</f>
        <v/>
      </c>
      <c r="P509" s="5">
        <f>MAX(J509:L509)/SUM(J509:L509)</f>
        <v/>
      </c>
    </row>
    <row r="510">
      <c r="A510" t="inlineStr">
        <is>
          <t>Segundo año</t>
        </is>
      </c>
      <c r="B510" t="inlineStr">
        <is>
          <t>Segundo periodo</t>
        </is>
      </c>
      <c r="C510" t="n">
        <v>43</v>
      </c>
      <c r="D510" t="n">
        <v>508</v>
      </c>
      <c r="E510" s="3" t="n">
        <v>46078</v>
      </c>
      <c r="F510" t="inlineStr">
        <is>
          <t>Punto de Acuerdo</t>
        </is>
      </c>
      <c r="G510" t="inlineStr">
        <is>
          <t>Acuerdo por el que se exhorta a los doscientos doce ayuntamientos y cinco concejos municipales del estado</t>
        </is>
      </c>
      <c r="H510" t="n">
        <v>2</v>
      </c>
      <c r="I510" t="inlineStr">
        <is>
          <t>Pobreza y Política Social</t>
        </is>
      </c>
      <c r="J510" t="n">
        <v>40</v>
      </c>
      <c r="K510" t="n">
        <v>0</v>
      </c>
      <c r="L510" t="n">
        <v>0</v>
      </c>
      <c r="M510" t="n">
        <v>1</v>
      </c>
      <c r="N510">
        <f>SUM(J510:M510)</f>
        <v/>
      </c>
      <c r="O510" s="4">
        <f>SUM(J510:L510)/SUM(J510:M510)</f>
        <v/>
      </c>
      <c r="P510" s="5">
        <f>MAX(J510:L510)/SUM(J510:L510)</f>
        <v/>
      </c>
    </row>
    <row r="511">
      <c r="A511" t="inlineStr">
        <is>
          <t>Segundo año</t>
        </is>
      </c>
      <c r="B511" t="inlineStr">
        <is>
          <t>Segundo periodo</t>
        </is>
      </c>
      <c r="C511" t="n">
        <v>44</v>
      </c>
      <c r="D511" t="n">
        <v>509</v>
      </c>
      <c r="E511" s="3" t="n">
        <v>46078</v>
      </c>
      <c r="F511" t="inlineStr">
        <is>
          <t>Punto de Acuerdo</t>
        </is>
      </c>
      <c r="G511" t="inlineStr">
        <is>
          <t>Acuerdo por el que se exhorta a la Secretaría de Educación Pública y al Instituto Poblano de los Pueblos Indígenas</t>
        </is>
      </c>
      <c r="H511" t="n">
        <v>8</v>
      </c>
      <c r="I511" t="inlineStr">
        <is>
          <t>Educación y Cultura</t>
        </is>
      </c>
      <c r="J511" t="n">
        <v>40</v>
      </c>
      <c r="K511" t="n">
        <v>0</v>
      </c>
      <c r="L511" t="n">
        <v>0</v>
      </c>
      <c r="M511" t="n">
        <v>1</v>
      </c>
      <c r="N511">
        <f>SUM(J511:M511)</f>
        <v/>
      </c>
      <c r="O511" s="4">
        <f>SUM(J511:L511)/SUM(J511:M511)</f>
        <v/>
      </c>
      <c r="P511" s="5">
        <f>MAX(J511:L511)/SUM(J511:L511)</f>
        <v/>
      </c>
    </row>
    <row r="512">
      <c r="A512" t="inlineStr">
        <is>
          <t>Segundo año</t>
        </is>
      </c>
      <c r="B512" t="inlineStr">
        <is>
          <t>Segundo periodo</t>
        </is>
      </c>
      <c r="C512" t="n">
        <v>45</v>
      </c>
      <c r="D512" t="n">
        <v>510</v>
      </c>
      <c r="E512" s="3" t="n">
        <v>46078</v>
      </c>
      <c r="F512" t="inlineStr">
        <is>
          <t>Punto de Acuerdo</t>
        </is>
      </c>
      <c r="G512" t="inlineStr">
        <is>
          <t>Acuerdo por el cual se desecha la solicitud de dispensa de trámite</t>
        </is>
      </c>
      <c r="H512" t="n">
        <v>19</v>
      </c>
      <c r="I512" t="inlineStr">
        <is>
          <t>Internos del Congreso</t>
        </is>
      </c>
      <c r="J512" t="n">
        <v>0</v>
      </c>
      <c r="K512" t="n">
        <v>40</v>
      </c>
      <c r="L512" t="n">
        <v>0</v>
      </c>
      <c r="M512" t="n">
        <v>1</v>
      </c>
      <c r="N512">
        <f>SUM(J512:M512)</f>
        <v/>
      </c>
      <c r="O512" s="4">
        <f>SUM(J512:L512)/SUM(J512:M512)</f>
        <v/>
      </c>
      <c r="P512" s="5">
        <f>MAX(J512:L512)/SUM(J512:L512)</f>
        <v/>
      </c>
    </row>
    <row r="513">
      <c r="A513" t="inlineStr">
        <is>
          <t>Segundo año</t>
        </is>
      </c>
      <c r="B513" t="inlineStr">
        <is>
          <t>Segundo periodo</t>
        </is>
      </c>
      <c r="C513" t="n">
        <v>46</v>
      </c>
      <c r="D513" t="n">
        <v>511</v>
      </c>
      <c r="E513" s="3" t="n">
        <v>46086</v>
      </c>
      <c r="F513" t="inlineStr">
        <is>
          <t>Iniciativa</t>
        </is>
      </c>
      <c r="G513" t="inlineStr">
        <is>
          <t>Dictamen con minuta de decreto por el cual se crea el organismo público descentralizado denominado “Universidad de la Creación del Arte y la Cultura”</t>
        </is>
      </c>
      <c r="H513" t="n">
        <v>8</v>
      </c>
      <c r="I513" t="inlineStr">
        <is>
          <t>Educación y Cultura</t>
        </is>
      </c>
      <c r="J513" t="n">
        <v>34</v>
      </c>
      <c r="K513" t="n">
        <v>0</v>
      </c>
      <c r="L513" t="n">
        <v>5</v>
      </c>
      <c r="M513" t="n">
        <v>2</v>
      </c>
      <c r="N513">
        <f>SUM(J513:M513)</f>
        <v/>
      </c>
      <c r="O513" s="4">
        <f>SUM(J513:L513)/SUM(J513:M513)</f>
        <v/>
      </c>
      <c r="P513" s="5">
        <f>MAX(J513:L513)/SUM(J513:L513)</f>
        <v/>
      </c>
    </row>
    <row r="514">
      <c r="A514" t="inlineStr">
        <is>
          <t>Segundo año</t>
        </is>
      </c>
      <c r="B514" t="inlineStr">
        <is>
          <t>Segundo periodo</t>
        </is>
      </c>
      <c r="C514" t="n">
        <v>47</v>
      </c>
      <c r="D514" t="n">
        <v>512</v>
      </c>
      <c r="E514" s="3" t="n">
        <v>46086</v>
      </c>
      <c r="F514" t="inlineStr">
        <is>
          <t>Iniciativa</t>
        </is>
      </c>
      <c r="G514" t="inlineStr">
        <is>
          <t>Dictamen con minuta de decreto por el cual se reforman y adicionan diversas disposiciones de la ley que crea el Consejo de Armonización Contable para el estado libre y soberano</t>
        </is>
      </c>
      <c r="H514" t="n">
        <v>7</v>
      </c>
      <c r="I514" t="inlineStr">
        <is>
          <t>Impuestos, Finanzas Públicas, Patrimonio estatal y municipal</t>
        </is>
      </c>
      <c r="J514" t="n">
        <v>39</v>
      </c>
      <c r="K514" t="n">
        <v>0</v>
      </c>
      <c r="L514" t="n">
        <v>0</v>
      </c>
      <c r="M514" t="n">
        <v>2</v>
      </c>
      <c r="N514">
        <f>SUM(J514:M514)</f>
        <v/>
      </c>
      <c r="O514" s="4">
        <f>SUM(J514:L514)/SUM(J514:M514)</f>
        <v/>
      </c>
      <c r="P514" s="5">
        <f>MAX(J514:L514)/SUM(J514:L514)</f>
        <v/>
      </c>
    </row>
    <row r="515">
      <c r="A515" t="inlineStr">
        <is>
          <t>Segundo año</t>
        </is>
      </c>
      <c r="B515" t="inlineStr">
        <is>
          <t>Segundo periodo</t>
        </is>
      </c>
      <c r="C515" t="n">
        <v>48</v>
      </c>
      <c r="D515" t="n">
        <v>513</v>
      </c>
      <c r="E515" s="3" t="n">
        <v>46086</v>
      </c>
      <c r="F515" t="inlineStr">
        <is>
          <t>Punto de Acuerdo</t>
        </is>
      </c>
      <c r="G515" t="inlineStr">
        <is>
          <t>Acuerdo por el cual se denomina “Salón de Protocolo Elena Garro” al salón de protocolo de la sede alterna del honorable congreso del estado libre y soberano</t>
        </is>
      </c>
      <c r="H515" t="n">
        <v>18</v>
      </c>
      <c r="I515" t="inlineStr">
        <is>
          <t>Administración Pública</t>
        </is>
      </c>
      <c r="J515" t="n">
        <v>39</v>
      </c>
      <c r="K515" t="n">
        <v>0</v>
      </c>
      <c r="L515" t="n">
        <v>0</v>
      </c>
      <c r="M515" t="n">
        <v>2</v>
      </c>
      <c r="N515">
        <f>SUM(J515:M515)</f>
        <v/>
      </c>
      <c r="O515" s="4">
        <f>SUM(J515:L515)/SUM(J515:M515)</f>
        <v/>
      </c>
      <c r="P515" s="5">
        <f>MAX(J515:L515)/SUM(J515:L515)</f>
        <v/>
      </c>
    </row>
    <row r="516">
      <c r="A516" t="inlineStr">
        <is>
          <t>Segundo año</t>
        </is>
      </c>
      <c r="B516" t="inlineStr">
        <is>
          <t>Segundo periodo</t>
        </is>
      </c>
      <c r="C516" t="n">
        <v>49</v>
      </c>
      <c r="D516" t="n">
        <v>514</v>
      </c>
      <c r="E516" s="3" t="n">
        <v>46086</v>
      </c>
      <c r="F516" t="inlineStr">
        <is>
          <t>Punto de Acuerdo</t>
        </is>
      </c>
      <c r="G516" t="inlineStr">
        <is>
          <t>Acuerdo por el que se exhorta a la secretaría de agricultura y desarrollo rural para que, en coordinación con la secretaría de desarrollo económico y trabajo, implemente políticas públicas que prioricen e incentiven la comercialización y consumo de productos agropecuarios locales</t>
        </is>
      </c>
      <c r="H516" t="n">
        <v>12</v>
      </c>
      <c r="I516" t="inlineStr">
        <is>
          <t>Agricultura, Ganadería y Pesca</t>
        </is>
      </c>
      <c r="J516" t="n">
        <v>39</v>
      </c>
      <c r="K516" t="n">
        <v>0</v>
      </c>
      <c r="L516" t="n">
        <v>0</v>
      </c>
      <c r="M516" t="n">
        <v>2</v>
      </c>
      <c r="N516">
        <f>SUM(J516:M516)</f>
        <v/>
      </c>
      <c r="O516" s="4">
        <f>SUM(J516:L516)/SUM(J516:M516)</f>
        <v/>
      </c>
      <c r="P516" s="5">
        <f>MAX(J516:L516)/SUM(J516:L516)</f>
        <v/>
      </c>
    </row>
    <row r="517">
      <c r="A517" t="inlineStr">
        <is>
          <t>Segundo año</t>
        </is>
      </c>
      <c r="B517" t="inlineStr">
        <is>
          <t>Segundo periodo</t>
        </is>
      </c>
      <c r="C517" t="n">
        <v>50</v>
      </c>
      <c r="D517" t="n">
        <v>515</v>
      </c>
      <c r="E517" s="3" t="n">
        <v>46086</v>
      </c>
      <c r="F517" t="inlineStr">
        <is>
          <t>Punto de Acuerdo</t>
        </is>
      </c>
      <c r="G517" t="inlineStr">
        <is>
          <t>Acuerdo por el que se exhorta a la secretaría de agricultura y desarrollo rural del estado, para que implemente acciones coordinadas con los ayuntamientos, concejos municipales y las asociaciones ganaderas de la entidad, con el fin de prevenir y erradicar la brucelosis y tuberculosis</t>
        </is>
      </c>
      <c r="H517" t="n">
        <v>12</v>
      </c>
      <c r="I517" t="inlineStr">
        <is>
          <t>Agricultura, Ganadería y Pesca</t>
        </is>
      </c>
      <c r="J517" t="n">
        <v>39</v>
      </c>
      <c r="K517" t="n">
        <v>0</v>
      </c>
      <c r="L517" t="n">
        <v>0</v>
      </c>
      <c r="M517" t="n">
        <v>2</v>
      </c>
      <c r="N517">
        <f>SUM(J517:M517)</f>
        <v/>
      </c>
      <c r="O517" s="4">
        <f>SUM(J517:L517)/SUM(J517:M517)</f>
        <v/>
      </c>
      <c r="P517" s="5">
        <f>MAX(J517:L517)/SUM(J517:L517)</f>
        <v/>
      </c>
    </row>
    <row r="518">
      <c r="A518" t="inlineStr">
        <is>
          <t>Segundo año</t>
        </is>
      </c>
      <c r="B518" t="inlineStr">
        <is>
          <t>Segundo periodo</t>
        </is>
      </c>
      <c r="C518" t="n">
        <v>51</v>
      </c>
      <c r="D518" t="n">
        <v>516</v>
      </c>
      <c r="E518" s="3" t="n">
        <v>46086</v>
      </c>
      <c r="F518" t="inlineStr">
        <is>
          <t>Punto de Acuerdo</t>
        </is>
      </c>
      <c r="G518" t="inlineStr">
        <is>
          <t>Acuerdo por el que se exhorta a la secretaría de deporte y juventud, y a la secretaría de ciencia, humanidades, tecnología e innovación, para que implementen acciones de acompañamiento en favor de los y las jóvenes interesadas en prepararse en las materias de tecnologías de la información y comunicación, y de inteligencia artificial</t>
        </is>
      </c>
      <c r="H518" t="n">
        <v>8</v>
      </c>
      <c r="I518" t="inlineStr">
        <is>
          <t>Educación y Cultura</t>
        </is>
      </c>
      <c r="J518" t="n">
        <v>39</v>
      </c>
      <c r="K518" t="n">
        <v>0</v>
      </c>
      <c r="L518" t="n">
        <v>0</v>
      </c>
      <c r="M518" t="n">
        <v>2</v>
      </c>
      <c r="N518">
        <f>SUM(J518:M518)</f>
        <v/>
      </c>
      <c r="O518" s="4">
        <f>SUM(J518:L518)/SUM(J518:M518)</f>
        <v/>
      </c>
      <c r="P518" s="5">
        <f>MAX(J518:L518)/SUM(J518:L518)</f>
        <v/>
      </c>
    </row>
    <row r="519">
      <c r="A519" t="inlineStr">
        <is>
          <t>Segundo año</t>
        </is>
      </c>
      <c r="B519" t="inlineStr">
        <is>
          <t>Segundo periodo</t>
        </is>
      </c>
      <c r="C519" t="n">
        <v>52</v>
      </c>
      <c r="D519" t="n">
        <v>517</v>
      </c>
      <c r="E519" s="3" t="n">
        <v>46086</v>
      </c>
      <c r="F519" t="inlineStr">
        <is>
          <t>Punto de Acuerdo</t>
        </is>
      </c>
      <c r="G519" t="inlineStr">
        <is>
          <t>Acuerdo por el que se exhorta a la secretaría de desarrollo turístico para que fortalezcan la difusión de nuestra oferta turística</t>
        </is>
      </c>
      <c r="H519" t="n">
        <v>1</v>
      </c>
      <c r="I519" t="inlineStr">
        <is>
          <t>Economía, Comercio y Competitividad</t>
        </is>
      </c>
      <c r="J519" t="n">
        <v>39</v>
      </c>
      <c r="K519" t="n">
        <v>0</v>
      </c>
      <c r="L519" t="n">
        <v>0</v>
      </c>
      <c r="M519" t="n">
        <v>2</v>
      </c>
      <c r="N519">
        <f>SUM(J519:M519)</f>
        <v/>
      </c>
      <c r="O519" s="4">
        <f>SUM(J519:L519)/SUM(J519:M519)</f>
        <v/>
      </c>
      <c r="P519" s="5">
        <f>MAX(J519:L519)/SUM(J519:L519)</f>
        <v/>
      </c>
    </row>
    <row r="520">
      <c r="A520" t="inlineStr">
        <is>
          <t>Segundo año</t>
        </is>
      </c>
      <c r="B520" t="inlineStr">
        <is>
          <t>Segundo periodo</t>
        </is>
      </c>
      <c r="C520" t="n">
        <v>53</v>
      </c>
      <c r="D520" t="n">
        <v>518</v>
      </c>
      <c r="E520" s="3" t="n">
        <v>46086</v>
      </c>
      <c r="F520" t="inlineStr">
        <is>
          <t>Punto de Acuerdo</t>
        </is>
      </c>
      <c r="G520" t="inlineStr">
        <is>
          <t>Acuerdo por el que se exhorta a la secretaría de arte y cultura y a la secretaría de desarrollo turístico para diseñar e implementar un programa que tenga por finalidad “conocer los municipios de”</t>
        </is>
      </c>
      <c r="H520" t="n">
        <v>8</v>
      </c>
      <c r="I520" t="inlineStr">
        <is>
          <t>Educación y Cultura</t>
        </is>
      </c>
      <c r="J520" t="n">
        <v>39</v>
      </c>
      <c r="K520" t="n">
        <v>0</v>
      </c>
      <c r="L520" t="n">
        <v>0</v>
      </c>
      <c r="M520" t="n">
        <v>2</v>
      </c>
      <c r="N520">
        <f>SUM(J520:M520)</f>
        <v/>
      </c>
      <c r="O520" s="4">
        <f>SUM(J520:L520)/SUM(J520:M520)</f>
        <v/>
      </c>
      <c r="P520" s="5">
        <f>MAX(J520:L520)/SUM(J520:L520)</f>
        <v/>
      </c>
    </row>
    <row r="521">
      <c r="A521" t="inlineStr">
        <is>
          <t>Segundo año</t>
        </is>
      </c>
      <c r="B521" t="inlineStr">
        <is>
          <t>Segundo periodo</t>
        </is>
      </c>
      <c r="C521" t="n">
        <v>54</v>
      </c>
      <c r="D521" t="n">
        <v>519</v>
      </c>
      <c r="E521" s="3" t="n">
        <v>46086</v>
      </c>
      <c r="F521" t="inlineStr">
        <is>
          <t>Punto de Acuerdo</t>
        </is>
      </c>
      <c r="G521" t="inlineStr">
        <is>
          <t>Acuerdo por el que se exhorta a la secretaría de desarrollo turístico del estado, para que, elabore, difunda y promueva el cumplimiento de un código de conducta estatal en materia de turismo</t>
        </is>
      </c>
      <c r="H521" t="n">
        <v>1</v>
      </c>
      <c r="I521" t="inlineStr">
        <is>
          <t>Economía, Comercio y Competitividad</t>
        </is>
      </c>
      <c r="J521" t="n">
        <v>39</v>
      </c>
      <c r="K521" t="n">
        <v>0</v>
      </c>
      <c r="L521" t="n">
        <v>0</v>
      </c>
      <c r="M521" t="n">
        <v>2</v>
      </c>
      <c r="N521">
        <f>SUM(J521:M521)</f>
        <v/>
      </c>
      <c r="O521" s="4">
        <f>SUM(J521:L521)/SUM(J521:M521)</f>
        <v/>
      </c>
      <c r="P521" s="5">
        <f>MAX(J521:L521)/SUM(J521:L521)</f>
        <v/>
      </c>
    </row>
    <row r="522">
      <c r="A522" t="inlineStr">
        <is>
          <t>Segundo año</t>
        </is>
      </c>
      <c r="B522" t="inlineStr">
        <is>
          <t>Segundo periodo</t>
        </is>
      </c>
      <c r="C522" t="n">
        <v>55</v>
      </c>
      <c r="D522" t="n">
        <v>520</v>
      </c>
      <c r="E522" s="3" t="n">
        <v>46086</v>
      </c>
      <c r="F522" t="inlineStr">
        <is>
          <t>Punto de Acuerdo</t>
        </is>
      </c>
      <c r="G522" t="inlineStr">
        <is>
          <t>Acuerdo por el que se exhorta a los ayuntamientos y concejos municipales del estado, para que, creen o fortalezcan el funcionamiento de su comité para prevenir y eliminar la discriminación</t>
        </is>
      </c>
      <c r="H522" t="n">
        <v>14</v>
      </c>
      <c r="I522" t="inlineStr">
        <is>
          <t>Justicia y Estado de Derecho</t>
        </is>
      </c>
      <c r="J522" t="n">
        <v>39</v>
      </c>
      <c r="K522" t="n">
        <v>0</v>
      </c>
      <c r="L522" t="n">
        <v>0</v>
      </c>
      <c r="M522" t="n">
        <v>2</v>
      </c>
      <c r="N522">
        <f>SUM(J522:M522)</f>
        <v/>
      </c>
      <c r="O522" s="4">
        <f>SUM(J522:L522)/SUM(J522:M522)</f>
        <v/>
      </c>
      <c r="P522" s="5">
        <f>MAX(J522:L522)/SUM(J522:L522)</f>
        <v/>
      </c>
    </row>
    <row r="523">
      <c r="A523" t="inlineStr">
        <is>
          <t>Segundo año</t>
        </is>
      </c>
      <c r="B523" t="inlineStr">
        <is>
          <t>Segundo periodo</t>
        </is>
      </c>
      <c r="C523" t="n">
        <v>56</v>
      </c>
      <c r="D523" t="n">
        <v>521</v>
      </c>
      <c r="E523" s="3" t="n">
        <v>46086</v>
      </c>
      <c r="F523" t="inlineStr">
        <is>
          <t>Punto de Acuerdo</t>
        </is>
      </c>
      <c r="G523" t="inlineStr">
        <is>
          <t>Acuerdo por el que se exhorta a la secretaría de deporte y juventud del estado, para que, a partir de la convocatoria del premio estatal de la juventud “vicente suárez” 2026, considere la creación de una categoría que premie el trabajo en favor de la población con discapacidad</t>
        </is>
      </c>
      <c r="H523" t="n">
        <v>2</v>
      </c>
      <c r="I523" t="inlineStr">
        <is>
          <t>Pobreza y Política Social</t>
        </is>
      </c>
      <c r="J523" t="n">
        <v>39</v>
      </c>
      <c r="K523" t="n">
        <v>0</v>
      </c>
      <c r="L523" t="n">
        <v>0</v>
      </c>
      <c r="M523" t="n">
        <v>2</v>
      </c>
      <c r="N523">
        <f>SUM(J523:M523)</f>
        <v/>
      </c>
      <c r="O523" s="4">
        <f>SUM(J523:L523)/SUM(J523:M523)</f>
        <v/>
      </c>
      <c r="P523" s="5">
        <f>MAX(J523:L523)/SUM(J523:L523)</f>
        <v/>
      </c>
    </row>
    <row r="524">
      <c r="A524" t="inlineStr">
        <is>
          <t>Segundo año</t>
        </is>
      </c>
      <c r="B524" t="inlineStr">
        <is>
          <t>Segundo periodo</t>
        </is>
      </c>
      <c r="C524" t="n">
        <v>57</v>
      </c>
      <c r="D524" t="n">
        <v>522</v>
      </c>
      <c r="E524" s="3" t="n">
        <v>46086</v>
      </c>
      <c r="F524" t="inlineStr">
        <is>
          <t>Punto de Acuerdo</t>
        </is>
      </c>
      <c r="G524" t="inlineStr">
        <is>
          <t>Acuerdo por el que se exhorta a la secretaría de deporte y juventud del estado, para que promueva e incentive la difusión y conocimiento de la lucha libre mexicana</t>
        </is>
      </c>
      <c r="H524" t="n">
        <v>8</v>
      </c>
      <c r="I524" t="inlineStr">
        <is>
          <t>Educación y Cultura</t>
        </is>
      </c>
      <c r="J524" t="n">
        <v>39</v>
      </c>
      <c r="K524" t="n">
        <v>0</v>
      </c>
      <c r="L524" t="n">
        <v>0</v>
      </c>
      <c r="M524" t="n">
        <v>2</v>
      </c>
      <c r="N524">
        <f>SUM(J524:M524)</f>
        <v/>
      </c>
      <c r="O524" s="4">
        <f>SUM(J524:L524)/SUM(J524:M524)</f>
        <v/>
      </c>
      <c r="P524" s="5">
        <f>MAX(J524:L524)/SUM(J524:L524)</f>
        <v/>
      </c>
    </row>
    <row r="525">
      <c r="A525" t="inlineStr">
        <is>
          <t>Segundo año</t>
        </is>
      </c>
      <c r="B525" t="inlineStr">
        <is>
          <t>Segundo periodo</t>
        </is>
      </c>
      <c r="C525" t="n">
        <v>58</v>
      </c>
      <c r="D525" t="n">
        <v>523</v>
      </c>
      <c r="E525" s="3" t="n">
        <v>46086</v>
      </c>
      <c r="F525" t="inlineStr">
        <is>
          <t>Punto de Acuerdo</t>
        </is>
      </c>
      <c r="G525" t="inlineStr">
        <is>
          <t>Acuerdo por el que se exhorta a los ayuntamientos y concejos municipales del estado, con especial énfasis en los que cuentan con declaratoria de alerta de violencia de género, para que realicen las adecuaciones presupuestales para incorporar y ejercer gasto público con perspectiva de género</t>
        </is>
      </c>
      <c r="H525" t="n">
        <v>20</v>
      </c>
      <c r="I525" t="inlineStr">
        <is>
          <t>Justicia y Estado de Derecho en temas de Mujeres</t>
        </is>
      </c>
      <c r="J525" t="n">
        <v>39</v>
      </c>
      <c r="K525" t="n">
        <v>0</v>
      </c>
      <c r="L525" t="n">
        <v>0</v>
      </c>
      <c r="M525" t="n">
        <v>2</v>
      </c>
      <c r="N525">
        <f>SUM(J525:M525)</f>
        <v/>
      </c>
      <c r="O525" s="4">
        <f>SUM(J525:L525)/SUM(J525:M525)</f>
        <v/>
      </c>
      <c r="P525" s="5">
        <f>MAX(J525:L525)/SUM(J525:L525)</f>
        <v/>
      </c>
    </row>
    <row r="526">
      <c r="A526" t="inlineStr">
        <is>
          <t>Segundo año</t>
        </is>
      </c>
      <c r="B526" t="inlineStr">
        <is>
          <t>Segundo periodo</t>
        </is>
      </c>
      <c r="C526" t="n">
        <v>59</v>
      </c>
      <c r="D526" t="n">
        <v>524</v>
      </c>
      <c r="E526" s="3" t="n">
        <v>46093</v>
      </c>
      <c r="F526" t="inlineStr">
        <is>
          <t>Iniciativa</t>
        </is>
      </c>
      <c r="G526" t="inlineStr">
        <is>
          <t>Dictamen con minuta de decreto por el cual se reforma la fracción II del artículo 56 de la Ley Orgánica Municipal</t>
        </is>
      </c>
      <c r="H526" t="n">
        <v>18</v>
      </c>
      <c r="I526" t="inlineStr">
        <is>
          <t>Administración Pública</t>
        </is>
      </c>
      <c r="J526" t="n">
        <v>35</v>
      </c>
      <c r="K526" t="n">
        <v>0</v>
      </c>
      <c r="L526" t="n">
        <v>0</v>
      </c>
      <c r="M526" t="n">
        <v>6</v>
      </c>
      <c r="N526">
        <f>SUM(J526:M526)</f>
        <v/>
      </c>
      <c r="O526" s="4">
        <f>SUM(J526:L526)/SUM(J526:M526)</f>
        <v/>
      </c>
      <c r="P526" s="5">
        <f>MAX(J526:L526)/SUM(J526:L526)</f>
        <v/>
      </c>
    </row>
    <row r="527">
      <c r="A527" t="inlineStr">
        <is>
          <t>Segundo año</t>
        </is>
      </c>
      <c r="B527" t="inlineStr">
        <is>
          <t>Segundo periodo</t>
        </is>
      </c>
      <c r="C527" t="n">
        <v>60</v>
      </c>
      <c r="D527" t="n">
        <v>525</v>
      </c>
      <c r="E527" s="3" t="n">
        <v>46093</v>
      </c>
      <c r="F527" t="inlineStr">
        <is>
          <t>Iniciativa</t>
        </is>
      </c>
      <c r="G527" t="inlineStr">
        <is>
          <t>Dictamen con minuta de decreto por el cual se reforman y adicionan diversas disposiciones de la Ley de Desarrollo Económico Sustentable del Estado</t>
        </is>
      </c>
      <c r="H527" t="n">
        <v>1</v>
      </c>
      <c r="I527" t="inlineStr">
        <is>
          <t>Economía, Comercio y Competitividad</t>
        </is>
      </c>
      <c r="J527" t="n">
        <v>35</v>
      </c>
      <c r="K527" t="n">
        <v>0</v>
      </c>
      <c r="L527" t="n">
        <v>0</v>
      </c>
      <c r="M527" t="n">
        <v>6</v>
      </c>
      <c r="N527">
        <f>SUM(J527:M527)</f>
        <v/>
      </c>
      <c r="O527" s="4">
        <f>SUM(J527:L527)/SUM(J527:M527)</f>
        <v/>
      </c>
      <c r="P527" s="5">
        <f>MAX(J527:L527)/SUM(J527:L527)</f>
        <v/>
      </c>
    </row>
    <row r="528">
      <c r="A528" t="inlineStr">
        <is>
          <t>Segundo año</t>
        </is>
      </c>
      <c r="B528" t="inlineStr">
        <is>
          <t>Segundo periodo</t>
        </is>
      </c>
      <c r="C528" t="n">
        <v>61</v>
      </c>
      <c r="D528" t="n">
        <v>526</v>
      </c>
      <c r="E528" s="3" t="n">
        <v>46093</v>
      </c>
      <c r="F528" t="inlineStr">
        <is>
          <t>Iniciativa</t>
        </is>
      </c>
      <c r="G528" t="inlineStr">
        <is>
          <t>Dictamen con minuta de decreto por el cual se reforma la fracción V del artículo 18, y se adiciona la fracción IV bis al artículo 3 de la Ley de Turismo del Estado</t>
        </is>
      </c>
      <c r="H528" t="n">
        <v>1</v>
      </c>
      <c r="I528" t="inlineStr">
        <is>
          <t>Economía, Comercio y Competitividad</t>
        </is>
      </c>
      <c r="J528" t="n">
        <v>36</v>
      </c>
      <c r="K528" t="n">
        <v>0</v>
      </c>
      <c r="L528" t="n">
        <v>0</v>
      </c>
      <c r="M528" t="n">
        <v>5</v>
      </c>
      <c r="N528">
        <f>SUM(J528:M528)</f>
        <v/>
      </c>
      <c r="O528" s="4">
        <f>SUM(J528:L528)/SUM(J528:M528)</f>
        <v/>
      </c>
      <c r="P528" s="5">
        <f>MAX(J528:L528)/SUM(J528:L528)</f>
        <v/>
      </c>
    </row>
    <row r="529">
      <c r="A529" t="inlineStr">
        <is>
          <t>Segundo año</t>
        </is>
      </c>
      <c r="B529" t="inlineStr">
        <is>
          <t>Segundo periodo</t>
        </is>
      </c>
      <c r="C529" t="n">
        <v>62</v>
      </c>
      <c r="D529" t="n">
        <v>527</v>
      </c>
      <c r="E529" s="3" t="n">
        <v>46093</v>
      </c>
      <c r="F529" t="inlineStr">
        <is>
          <t>Punto de Acuerdo</t>
        </is>
      </c>
      <c r="G529" t="inlineStr">
        <is>
          <t>Acuerdo por el que se exhorta a los doscientos doce ayuntamientos y cinco concejos municipales del estado, para que fortalezcan la vigilancia para prevenir y, en su caso, sancionar la obstrucción o apartado indebido de la vía pública para estacionamiento vehicular</t>
        </is>
      </c>
      <c r="H529" t="n">
        <v>11</v>
      </c>
      <c r="I529" t="inlineStr">
        <is>
          <t>Infraestructura, Movilidad y Transporte</t>
        </is>
      </c>
      <c r="J529" t="n">
        <v>36</v>
      </c>
      <c r="K529" t="n">
        <v>0</v>
      </c>
      <c r="L529" t="n">
        <v>0</v>
      </c>
      <c r="M529" t="n">
        <v>5</v>
      </c>
      <c r="N529">
        <f>SUM(J529:M529)</f>
        <v/>
      </c>
      <c r="O529" s="4">
        <f>SUM(J529:L529)/SUM(J529:M529)</f>
        <v/>
      </c>
      <c r="P529" s="5">
        <f>MAX(J529:L529)/SUM(J529:L529)</f>
        <v/>
      </c>
    </row>
    <row r="530">
      <c r="A530" t="inlineStr">
        <is>
          <t>Segundo año</t>
        </is>
      </c>
      <c r="B530" t="inlineStr">
        <is>
          <t>Segundo periodo</t>
        </is>
      </c>
      <c r="C530" t="n">
        <v>63</v>
      </c>
      <c r="D530" t="n">
        <v>528</v>
      </c>
      <c r="E530" s="3" t="n">
        <v>46096</v>
      </c>
      <c r="F530" t="inlineStr">
        <is>
          <t>Punto de Acuerdo</t>
        </is>
      </c>
      <c r="G530" t="inlineStr">
        <is>
          <t>Acuerdo para la elección e integración de la segunda mesa directiva del segundo año de ejercicio legal</t>
        </is>
      </c>
      <c r="H530" t="n">
        <v>19</v>
      </c>
      <c r="I530" t="inlineStr">
        <is>
          <t>Internos del Congreso</t>
        </is>
      </c>
      <c r="J530" t="n">
        <v>35</v>
      </c>
      <c r="K530" t="n">
        <v>0</v>
      </c>
      <c r="L530" t="n">
        <v>0</v>
      </c>
      <c r="M530" t="n">
        <v>0</v>
      </c>
      <c r="N530">
        <f>SUM(J530:M530)</f>
        <v/>
      </c>
      <c r="O530" s="4">
        <f>SUM(J530:L530)/SUM(J530:M530)</f>
        <v/>
      </c>
      <c r="P530" s="5">
        <f>MAX(J530:L530)/SUM(J530:L530)</f>
        <v/>
      </c>
    </row>
    <row r="531">
      <c r="A531" t="inlineStr">
        <is>
          <t>Segundo año</t>
        </is>
      </c>
      <c r="B531" t="inlineStr">
        <is>
          <t>Segundo periodo</t>
        </is>
      </c>
      <c r="C531" t="n">
        <v>64</v>
      </c>
      <c r="D531" t="n">
        <v>529</v>
      </c>
      <c r="E531" s="3" t="n">
        <v>46096</v>
      </c>
      <c r="F531" t="inlineStr">
        <is>
          <t>Punto de Acuerdo</t>
        </is>
      </c>
      <c r="G531" t="inlineStr">
        <is>
          <t>Acuerdo para la elección e integración de miembros de la comisión permanente</t>
        </is>
      </c>
      <c r="H531" t="n">
        <v>19</v>
      </c>
      <c r="I531" t="inlineStr">
        <is>
          <t>Internos del Congreso</t>
        </is>
      </c>
      <c r="J531" t="n">
        <v>36</v>
      </c>
      <c r="K531" t="n">
        <v>0</v>
      </c>
      <c r="L531" t="n">
        <v>0</v>
      </c>
      <c r="M531" t="n">
        <v>0</v>
      </c>
      <c r="N531">
        <f>SUM(J531:M531)</f>
        <v/>
      </c>
      <c r="O531" s="4">
        <f>SUM(J531:L531)/SUM(J531:M531)</f>
        <v/>
      </c>
      <c r="P531" s="5">
        <f>MAX(J531:L531)/SUM(J531:L531)</f>
        <v/>
      </c>
    </row>
    <row r="532">
      <c r="A532" t="inlineStr">
        <is>
          <t>Segundo año</t>
        </is>
      </c>
      <c r="B532" t="inlineStr">
        <is>
          <t>Segundo periodo</t>
        </is>
      </c>
      <c r="C532" t="n">
        <v>65</v>
      </c>
      <c r="D532" t="n">
        <v>530</v>
      </c>
      <c r="E532" s="3" t="n">
        <v>46096</v>
      </c>
      <c r="F532" t="inlineStr">
        <is>
          <t>Iniciativa</t>
        </is>
      </c>
      <c r="G532" t="inlineStr">
        <is>
          <t>Dictamen con minuta de decreto por el cual se reforma la fracción IX del artículo 43 y se adiciona un segundo párrafo al artículo 13 de la Ley para el Acceso de las Mujeres a una Vida Libre de Violencia del estado</t>
        </is>
      </c>
      <c r="H532" t="n">
        <v>20</v>
      </c>
      <c r="I532" t="inlineStr">
        <is>
          <t>Justicia y Estado de Derecho en temas de Mujeres</t>
        </is>
      </c>
      <c r="J532" t="n">
        <v>36</v>
      </c>
      <c r="K532" t="n">
        <v>0</v>
      </c>
      <c r="L532" t="n">
        <v>0</v>
      </c>
      <c r="M532" t="n">
        <v>0</v>
      </c>
      <c r="N532">
        <f>SUM(J532:M532)</f>
        <v/>
      </c>
      <c r="O532" s="4">
        <f>SUM(J532:L532)/SUM(J532:M532)</f>
        <v/>
      </c>
      <c r="P532" s="5">
        <f>MAX(J532:L532)/SUM(J532:L532)</f>
        <v/>
      </c>
    </row>
    <row r="533">
      <c r="A533" t="inlineStr">
        <is>
          <t>Segundo año</t>
        </is>
      </c>
      <c r="B533" t="inlineStr">
        <is>
          <t>Segundo periodo</t>
        </is>
      </c>
      <c r="C533" t="n">
        <v>66</v>
      </c>
      <c r="D533" t="n">
        <v>531</v>
      </c>
      <c r="E533" s="3" t="n">
        <v>46096</v>
      </c>
      <c r="F533" t="inlineStr">
        <is>
          <t>Iniciativa</t>
        </is>
      </c>
      <c r="G533" t="inlineStr">
        <is>
          <t>Dictamen con minuta de decreto por el cual se reforma el primer párrafo y se adiciona un segundo párrafo del artículo 26 de la Ley de los Trabajadores al Servicio del Estado</t>
        </is>
      </c>
      <c r="H533" t="n">
        <v>16</v>
      </c>
      <c r="I533" t="inlineStr">
        <is>
          <t>Trabajo y Previsión Social</t>
        </is>
      </c>
      <c r="J533" t="n">
        <v>36</v>
      </c>
      <c r="K533" t="n">
        <v>0</v>
      </c>
      <c r="L533" t="n">
        <v>0</v>
      </c>
      <c r="M533" t="n">
        <v>0</v>
      </c>
      <c r="N533">
        <f>SUM(J533:M533)</f>
        <v/>
      </c>
      <c r="O533" s="4">
        <f>SUM(J533:L533)/SUM(J533:M533)</f>
        <v/>
      </c>
      <c r="P533" s="5">
        <f>MAX(J533:L533)/SUM(J533:L533)</f>
        <v/>
      </c>
    </row>
    <row r="534">
      <c r="A534" t="inlineStr">
        <is>
          <t>Segundo año</t>
        </is>
      </c>
      <c r="B534" t="inlineStr">
        <is>
          <t>Segundo periodo</t>
        </is>
      </c>
      <c r="C534" t="n">
        <v>67</v>
      </c>
      <c r="D534" t="n">
        <v>532</v>
      </c>
      <c r="E534" s="3" t="n">
        <v>46096</v>
      </c>
      <c r="F534" t="inlineStr">
        <is>
          <t>Iniciativa</t>
        </is>
      </c>
      <c r="G534" t="inlineStr">
        <is>
          <t>Dictamen con minuta de decreto por el cual se reforman las fracciones I bis, VIII y IX, y se adicionan las fracciones I ter, IX bis y IX ter todas del artículo 2 de la Ley de Seguridad Integral Escolar</t>
        </is>
      </c>
      <c r="H534" t="n">
        <v>3</v>
      </c>
      <c r="I534" t="inlineStr">
        <is>
          <t>Seguridad Pública, Protección Civil y Narcotráfico</t>
        </is>
      </c>
      <c r="J534" t="n">
        <v>36</v>
      </c>
      <c r="K534" t="n">
        <v>0</v>
      </c>
      <c r="L534" t="n">
        <v>0</v>
      </c>
      <c r="M534" t="n">
        <v>0</v>
      </c>
      <c r="N534">
        <f>SUM(J534:M534)</f>
        <v/>
      </c>
      <c r="O534" s="4">
        <f>SUM(J534:L534)/SUM(J534:M534)</f>
        <v/>
      </c>
      <c r="P534" s="5">
        <f>MAX(J534:L534)/SUM(J534:L534)</f>
        <v/>
      </c>
    </row>
    <row r="535">
      <c r="A535" t="inlineStr">
        <is>
          <t>Segundo año</t>
        </is>
      </c>
      <c r="B535" t="inlineStr">
        <is>
          <t>Segundo periodo</t>
        </is>
      </c>
      <c r="C535" t="n">
        <v>68</v>
      </c>
      <c r="D535" t="n">
        <v>533</v>
      </c>
      <c r="E535" s="3" t="n">
        <v>46096</v>
      </c>
      <c r="F535" t="inlineStr">
        <is>
          <t>Iniciativa</t>
        </is>
      </c>
      <c r="G535" t="inlineStr">
        <is>
          <t>Dictamen con minuta de decreto por el cual se adiciona el capítulo V denominado “del apoyo escolar comunitario” al título décimo de la Ley de Educación del estado</t>
        </is>
      </c>
      <c r="H535" t="n">
        <v>8</v>
      </c>
      <c r="I535" t="inlineStr">
        <is>
          <t>Educación y Cultura</t>
        </is>
      </c>
      <c r="J535" t="n">
        <v>36</v>
      </c>
      <c r="K535" t="n">
        <v>0</v>
      </c>
      <c r="L535" t="n">
        <v>0</v>
      </c>
      <c r="M535" t="n">
        <v>0</v>
      </c>
      <c r="N535">
        <f>SUM(J535:M535)</f>
        <v/>
      </c>
      <c r="O535" s="4">
        <f>SUM(J535:L535)/SUM(J535:M535)</f>
        <v/>
      </c>
      <c r="P535" s="5">
        <f>MAX(J535:L535)/SUM(J535:L535)</f>
        <v/>
      </c>
    </row>
    <row r="536">
      <c r="A536" t="inlineStr">
        <is>
          <t>Segundo año</t>
        </is>
      </c>
      <c r="B536" t="inlineStr">
        <is>
          <t>Segundo periodo</t>
        </is>
      </c>
      <c r="C536" t="n">
        <v>69</v>
      </c>
      <c r="D536" t="n">
        <v>534</v>
      </c>
      <c r="E536" s="3" t="n">
        <v>46096</v>
      </c>
      <c r="F536" t="inlineStr">
        <is>
          <t>Iniciativa</t>
        </is>
      </c>
      <c r="G536" t="inlineStr">
        <is>
          <t>Dictamen con minuta de decreto por el cual se reforma el primer párrafo al artículo 110 de la Ley de Transportes del estado</t>
        </is>
      </c>
      <c r="H536" t="n">
        <v>11</v>
      </c>
      <c r="I536" t="inlineStr">
        <is>
          <t>Infraestructura, Movilidad y Transporte</t>
        </is>
      </c>
      <c r="J536" t="n">
        <v>36</v>
      </c>
      <c r="K536" t="n">
        <v>0</v>
      </c>
      <c r="L536" t="n">
        <v>0</v>
      </c>
      <c r="M536" t="n">
        <v>0</v>
      </c>
      <c r="N536">
        <f>SUM(J536:M536)</f>
        <v/>
      </c>
      <c r="O536" s="4">
        <f>SUM(J536:L536)/SUM(J536:M536)</f>
        <v/>
      </c>
      <c r="P536" s="5">
        <f>MAX(J536:L536)/SUM(J536:L536)</f>
        <v/>
      </c>
    </row>
    <row r="537">
      <c r="A537" t="inlineStr">
        <is>
          <t>Segundo año</t>
        </is>
      </c>
      <c r="B537" t="inlineStr">
        <is>
          <t>Segundo periodo</t>
        </is>
      </c>
      <c r="C537" t="n">
        <v>70</v>
      </c>
      <c r="D537" t="n">
        <v>535</v>
      </c>
      <c r="E537" s="3" t="n">
        <v>46096</v>
      </c>
      <c r="F537" t="inlineStr">
        <is>
          <t>Iniciativa</t>
        </is>
      </c>
      <c r="G537" t="inlineStr">
        <is>
          <t>Dictamen con minuta de decreto por el cual se reforma el párrafo primero del artículo 20 de la Ley sobre el Sistema Estatal de Asistencia Social</t>
        </is>
      </c>
      <c r="H537" t="n">
        <v>2</v>
      </c>
      <c r="I537" t="inlineStr">
        <is>
          <t>Pobreza y Política Social</t>
        </is>
      </c>
      <c r="J537" t="n">
        <v>31</v>
      </c>
      <c r="K537" t="n">
        <v>5</v>
      </c>
      <c r="L537" t="n">
        <v>0</v>
      </c>
      <c r="M537" t="n">
        <v>0</v>
      </c>
      <c r="N537">
        <f>SUM(J537:M537)</f>
        <v/>
      </c>
      <c r="O537" s="4">
        <f>SUM(J537:L537)/SUM(J537:M537)</f>
        <v/>
      </c>
      <c r="P537" s="5">
        <f>MAX(J537:L537)/SUM(J537:L537)</f>
        <v/>
      </c>
    </row>
    <row r="538">
      <c r="A538" t="inlineStr">
        <is>
          <t>Segundo año</t>
        </is>
      </c>
      <c r="B538" t="inlineStr">
        <is>
          <t>Segundo periodo</t>
        </is>
      </c>
      <c r="C538" t="n">
        <v>71</v>
      </c>
      <c r="D538" t="n">
        <v>536</v>
      </c>
      <c r="E538" s="3" t="n">
        <v>46096</v>
      </c>
      <c r="F538" t="inlineStr">
        <is>
          <t>Iniciativa</t>
        </is>
      </c>
      <c r="G538" t="inlineStr">
        <is>
          <t>Dictamen con minuta de decreto por el cual se reforman diversas disposiciones de la Ley de Obra Pública y Servicios Relacionados con la misma</t>
        </is>
      </c>
      <c r="H538" t="n">
        <v>11</v>
      </c>
      <c r="I538" t="inlineStr">
        <is>
          <t>Infraestructura, Movilidad y Transporte</t>
        </is>
      </c>
      <c r="J538" t="n">
        <v>29</v>
      </c>
      <c r="K538" t="n">
        <v>7</v>
      </c>
      <c r="L538" t="n">
        <v>0</v>
      </c>
      <c r="M538" t="n">
        <v>0</v>
      </c>
      <c r="N538">
        <f>SUM(J538:M538)</f>
        <v/>
      </c>
      <c r="O538" s="4">
        <f>SUM(J538:L538)/SUM(J538:M538)</f>
        <v/>
      </c>
      <c r="P538" s="5">
        <f>MAX(J538:L538)/SUM(J538:L538)</f>
        <v/>
      </c>
    </row>
    <row r="539">
      <c r="A539" t="inlineStr">
        <is>
          <t>Segundo año</t>
        </is>
      </c>
      <c r="B539" t="inlineStr">
        <is>
          <t>Segundo periodo</t>
        </is>
      </c>
      <c r="C539" t="n">
        <v>72</v>
      </c>
      <c r="D539" t="n">
        <v>537</v>
      </c>
      <c r="E539" s="3" t="n">
        <v>46096</v>
      </c>
      <c r="F539" t="inlineStr">
        <is>
          <t>Iniciativa</t>
        </is>
      </c>
      <c r="G539" t="inlineStr">
        <is>
          <t>Dictamen con minuta de decreto por el cual se reforman y adicionan diversas disposiciones de la Ley de Coordinación Hacendaria del estado y sus municipios</t>
        </is>
      </c>
      <c r="H539" t="n">
        <v>7</v>
      </c>
      <c r="I539" t="inlineStr">
        <is>
          <t>Impuestos, Finanzas Públicas, Patrimonio estatal y municipal</t>
        </is>
      </c>
      <c r="J539" t="n">
        <v>29</v>
      </c>
      <c r="K539" t="n">
        <v>6</v>
      </c>
      <c r="L539" t="n">
        <v>1</v>
      </c>
      <c r="M539" t="n">
        <v>0</v>
      </c>
      <c r="N539">
        <f>SUM(J539:M539)</f>
        <v/>
      </c>
      <c r="O539" s="4">
        <f>SUM(J539:L539)/SUM(J539:M539)</f>
        <v/>
      </c>
      <c r="P539" s="5">
        <f>MAX(J539:L539)/SUM(J539:L539)</f>
        <v/>
      </c>
    </row>
    <row r="540">
      <c r="A540" t="inlineStr">
        <is>
          <t>Segundo año</t>
        </is>
      </c>
      <c r="B540" t="inlineStr">
        <is>
          <t>Segundo periodo</t>
        </is>
      </c>
      <c r="C540" t="n">
        <v>73</v>
      </c>
      <c r="D540" t="n">
        <v>538</v>
      </c>
      <c r="E540" s="3" t="n">
        <v>46096</v>
      </c>
      <c r="F540" t="inlineStr">
        <is>
          <t>Iniciativa</t>
        </is>
      </c>
      <c r="G540" t="inlineStr">
        <is>
          <t>Dictamen con minuta de decreto por el cual se expide la Ley de Kilómetro Cero del estado</t>
        </is>
      </c>
      <c r="H540" t="n">
        <v>1</v>
      </c>
      <c r="I540" t="inlineStr">
        <is>
          <t>Economía, Comercio y Competitividad</t>
        </is>
      </c>
      <c r="J540" t="n">
        <v>30</v>
      </c>
      <c r="K540" t="n">
        <v>6</v>
      </c>
      <c r="L540" t="n">
        <v>0</v>
      </c>
      <c r="M540" t="n">
        <v>0</v>
      </c>
      <c r="N540">
        <f>SUM(J540:M540)</f>
        <v/>
      </c>
      <c r="O540" s="4">
        <f>SUM(J540:L540)/SUM(J540:M540)</f>
        <v/>
      </c>
      <c r="P540" s="5">
        <f>MAX(J540:L540)/SUM(J540:L540)</f>
        <v/>
      </c>
    </row>
    <row r="541">
      <c r="A541" t="inlineStr">
        <is>
          <t>Segundo año</t>
        </is>
      </c>
      <c r="B541" t="inlineStr">
        <is>
          <t>Segundo periodo</t>
        </is>
      </c>
      <c r="C541" t="n">
        <v>74</v>
      </c>
      <c r="D541" t="n">
        <v>539</v>
      </c>
      <c r="E541" s="3" t="n">
        <v>46096</v>
      </c>
      <c r="F541" t="inlineStr">
        <is>
          <t>Iniciativa</t>
        </is>
      </c>
      <c r="G541" t="inlineStr">
        <is>
          <t>Dictamen con minuta de decreto por el cual se adicionan diversas fracciones a la Ley para la Protección del Ambiente Natural y el Desarrollo Sustentable del estado</t>
        </is>
      </c>
      <c r="H541" t="n">
        <v>5</v>
      </c>
      <c r="I541" t="inlineStr">
        <is>
          <t>Medio Ambiente</t>
        </is>
      </c>
      <c r="J541" t="n">
        <v>36</v>
      </c>
      <c r="K541" t="n">
        <v>0</v>
      </c>
      <c r="L541" t="n">
        <v>0</v>
      </c>
      <c r="M541" t="n">
        <v>0</v>
      </c>
      <c r="N541">
        <f>SUM(J541:M541)</f>
        <v/>
      </c>
      <c r="O541" s="4">
        <f>SUM(J541:L541)/SUM(J541:M541)</f>
        <v/>
      </c>
      <c r="P541" s="5">
        <f>MAX(J541:L541)/SUM(J541:L541)</f>
        <v/>
      </c>
    </row>
    <row r="542">
      <c r="A542" t="inlineStr">
        <is>
          <t>Segundo año</t>
        </is>
      </c>
      <c r="B542" t="inlineStr">
        <is>
          <t>Segundo periodo</t>
        </is>
      </c>
      <c r="C542" t="n">
        <v>75</v>
      </c>
      <c r="D542" t="n">
        <v>540</v>
      </c>
      <c r="E542" s="3" t="n">
        <v>46096</v>
      </c>
      <c r="F542" t="inlineStr">
        <is>
          <t>Iniciativa</t>
        </is>
      </c>
      <c r="G542" t="inlineStr">
        <is>
          <t>Dictamen con minuta de decreto por el cual se reforman y adicionan diversas disposiciones de la Ley de Bienestar Animal del estado</t>
        </is>
      </c>
      <c r="H542" t="n">
        <v>5</v>
      </c>
      <c r="I542" t="inlineStr">
        <is>
          <t>Medio Ambiente</t>
        </is>
      </c>
      <c r="J542" t="n">
        <v>30</v>
      </c>
      <c r="K542" t="n">
        <v>6</v>
      </c>
      <c r="L542" t="n">
        <v>0</v>
      </c>
      <c r="M542" t="n">
        <v>0</v>
      </c>
      <c r="N542">
        <f>SUM(J542:M542)</f>
        <v/>
      </c>
      <c r="O542" s="4">
        <f>SUM(J542:L542)/SUM(J542:M542)</f>
        <v/>
      </c>
      <c r="P542" s="5">
        <f>MAX(J542:L542)/SUM(J542:L542)</f>
        <v/>
      </c>
    </row>
    <row r="543">
      <c r="A543" t="inlineStr">
        <is>
          <t>Segundo año</t>
        </is>
      </c>
      <c r="B543" t="inlineStr">
        <is>
          <t>Segundo periodo</t>
        </is>
      </c>
      <c r="C543" t="n">
        <v>76</v>
      </c>
      <c r="D543" t="n">
        <v>541</v>
      </c>
      <c r="E543" s="3" t="n">
        <v>46096</v>
      </c>
      <c r="F543" t="inlineStr">
        <is>
          <t>Iniciativa</t>
        </is>
      </c>
      <c r="G543" t="inlineStr">
        <is>
          <t>Dictamen con minuta de decreto por el cual se expide la Ley Orgánica del Poder Judicial del estado</t>
        </is>
      </c>
      <c r="H543" t="n">
        <v>14</v>
      </c>
      <c r="I543" t="inlineStr">
        <is>
          <t>Justicia y Estado de Derecho</t>
        </is>
      </c>
      <c r="J543" t="n">
        <v>29</v>
      </c>
      <c r="K543" t="n">
        <v>6</v>
      </c>
      <c r="L543" t="n">
        <v>1</v>
      </c>
      <c r="M543" t="n">
        <v>0</v>
      </c>
      <c r="N543">
        <f>SUM(J543:M543)</f>
        <v/>
      </c>
      <c r="O543" s="4">
        <f>SUM(J543:L543)/SUM(J543:M543)</f>
        <v/>
      </c>
      <c r="P543" s="5">
        <f>MAX(J543:L543)/SUM(J543:L543)</f>
        <v/>
      </c>
    </row>
    <row r="544">
      <c r="A544" t="inlineStr">
        <is>
          <t>Segundo año</t>
        </is>
      </c>
      <c r="B544" t="inlineStr">
        <is>
          <t>Segundo periodo</t>
        </is>
      </c>
      <c r="C544" t="n">
        <v>77</v>
      </c>
      <c r="D544" t="n">
        <v>542</v>
      </c>
      <c r="E544" s="3" t="n">
        <v>46096</v>
      </c>
      <c r="F544" t="inlineStr">
        <is>
          <t>Iniciativa</t>
        </is>
      </c>
      <c r="G544" t="inlineStr">
        <is>
          <t>Dictamen con minuta de decreto por el cual se expide la Ley Orgánica del Tribunal de Justicia Administrativa del estado</t>
        </is>
      </c>
      <c r="H544" t="n">
        <v>14</v>
      </c>
      <c r="I544" t="inlineStr">
        <is>
          <t>Justicia y Estado de Derecho</t>
        </is>
      </c>
      <c r="J544" t="n">
        <v>30</v>
      </c>
      <c r="K544" t="n">
        <v>6</v>
      </c>
      <c r="L544" t="n">
        <v>0</v>
      </c>
      <c r="M544" t="n">
        <v>0</v>
      </c>
      <c r="N544">
        <f>SUM(J544:M544)</f>
        <v/>
      </c>
      <c r="O544" s="4">
        <f>SUM(J544:L544)/SUM(J544:M544)</f>
        <v/>
      </c>
      <c r="P544" s="5">
        <f>MAX(J544:L544)/SUM(J544:L544)</f>
        <v/>
      </c>
    </row>
    <row r="545">
      <c r="A545" t="inlineStr">
        <is>
          <t>Segundo año</t>
        </is>
      </c>
      <c r="B545" t="inlineStr">
        <is>
          <t>Segundo periodo</t>
        </is>
      </c>
      <c r="C545" t="n">
        <v>78</v>
      </c>
      <c r="D545" t="n">
        <v>543</v>
      </c>
      <c r="E545" s="3" t="n">
        <v>46096</v>
      </c>
      <c r="F545" t="inlineStr">
        <is>
          <t>Iniciativa</t>
        </is>
      </c>
      <c r="G545" t="inlineStr">
        <is>
          <t>Dictamen con minuta de decreto por el cual se expide la Ley de Mecanismos Alternativos de Solución de Controversias para el estado</t>
        </is>
      </c>
      <c r="H545" t="n">
        <v>14</v>
      </c>
      <c r="I545" t="inlineStr">
        <is>
          <t>Justicia y Estado de Derecho</t>
        </is>
      </c>
      <c r="J545" t="n">
        <v>30</v>
      </c>
      <c r="K545" t="n">
        <v>6</v>
      </c>
      <c r="L545" t="n">
        <v>0</v>
      </c>
      <c r="M545" t="n">
        <v>0</v>
      </c>
      <c r="N545">
        <f>SUM(J545:M545)</f>
        <v/>
      </c>
      <c r="O545" s="4">
        <f>SUM(J545:L545)/SUM(J545:M545)</f>
        <v/>
      </c>
      <c r="P545" s="5">
        <f>MAX(J545:L545)/SUM(J545:L545)</f>
        <v/>
      </c>
    </row>
    <row r="546">
      <c r="A546" t="inlineStr">
        <is>
          <t>Segundo año</t>
        </is>
      </c>
      <c r="B546" t="inlineStr">
        <is>
          <t>Segundo periodo</t>
        </is>
      </c>
      <c r="C546" t="n">
        <v>79</v>
      </c>
      <c r="D546" t="n">
        <v>544</v>
      </c>
      <c r="E546" s="3" t="n">
        <v>46096</v>
      </c>
      <c r="F546" t="inlineStr">
        <is>
          <t>Iniciativa</t>
        </is>
      </c>
      <c r="G546" t="inlineStr">
        <is>
          <t>Dictamen con minuta de decreto por el cual se reforman, adicionan y derogan diversas disposiciones de la Ley del Procedimiento Contencioso Administrativo del estado</t>
        </is>
      </c>
      <c r="H546" t="n">
        <v>14</v>
      </c>
      <c r="I546" t="inlineStr">
        <is>
          <t>Justicia y Estado de Derecho</t>
        </is>
      </c>
      <c r="J546" t="n">
        <v>30</v>
      </c>
      <c r="K546" t="n">
        <v>6</v>
      </c>
      <c r="L546" t="n">
        <v>0</v>
      </c>
      <c r="M546" t="n">
        <v>0</v>
      </c>
      <c r="N546">
        <f>SUM(J546:M546)</f>
        <v/>
      </c>
      <c r="O546" s="4">
        <f>SUM(J546:L546)/SUM(J546:M546)</f>
        <v/>
      </c>
      <c r="P546" s="5">
        <f>MAX(J546:L546)/SUM(J546:L546)</f>
        <v/>
      </c>
    </row>
    <row r="547">
      <c r="A547" t="inlineStr">
        <is>
          <t>Segundo año</t>
        </is>
      </c>
      <c r="B547" t="inlineStr">
        <is>
          <t>Segundo periodo</t>
        </is>
      </c>
      <c r="C547" t="n">
        <v>80</v>
      </c>
      <c r="D547" t="n">
        <v>545</v>
      </c>
      <c r="E547" s="3" t="n">
        <v>46096</v>
      </c>
      <c r="F547" t="inlineStr">
        <is>
          <t>Iniciativa</t>
        </is>
      </c>
      <c r="G547" t="inlineStr">
        <is>
          <t>Dictamen con minuta de decreto por el cual se reforman, adicionan y derogan diversas disposiciones de la Ley Reglamentaria de los Medios de Defensa de la Constitución Política del estado</t>
        </is>
      </c>
      <c r="H547" t="n">
        <v>14</v>
      </c>
      <c r="I547" t="inlineStr">
        <is>
          <t>Justicia y Estado de Derecho</t>
        </is>
      </c>
      <c r="J547" t="n">
        <v>30</v>
      </c>
      <c r="K547" t="n">
        <v>6</v>
      </c>
      <c r="L547" t="n">
        <v>0</v>
      </c>
      <c r="M547" t="n">
        <v>0</v>
      </c>
      <c r="N547">
        <f>SUM(J547:M547)</f>
        <v/>
      </c>
      <c r="O547" s="4">
        <f>SUM(J547:L547)/SUM(J547:M547)</f>
        <v/>
      </c>
      <c r="P547" s="5">
        <f>MAX(J547:L547)/SUM(J547:L547)</f>
        <v/>
      </c>
    </row>
    <row r="548">
      <c r="A548" t="inlineStr">
        <is>
          <t>Segundo año</t>
        </is>
      </c>
      <c r="B548" t="inlineStr">
        <is>
          <t>Segundo periodo</t>
        </is>
      </c>
      <c r="C548" t="n">
        <v>81</v>
      </c>
      <c r="D548" t="n">
        <v>546</v>
      </c>
      <c r="E548" s="3" t="n">
        <v>46096</v>
      </c>
      <c r="F548" t="inlineStr">
        <is>
          <t>Iniciativa</t>
        </is>
      </c>
      <c r="G548" t="inlineStr">
        <is>
          <t>Dictamen con minuta de decreto por el cual se reforman, adicionan y derogan diversas disposiciones de la Ley de Carrera Judicial del estado</t>
        </is>
      </c>
      <c r="H548" t="n">
        <v>14</v>
      </c>
      <c r="I548" t="inlineStr">
        <is>
          <t>Justicia y Estado de Derecho</t>
        </is>
      </c>
      <c r="J548" t="n">
        <v>29</v>
      </c>
      <c r="K548" t="n">
        <v>6</v>
      </c>
      <c r="L548" t="n">
        <v>1</v>
      </c>
      <c r="M548" t="n">
        <v>0</v>
      </c>
      <c r="N548">
        <f>SUM(J548:M548)</f>
        <v/>
      </c>
      <c r="O548" s="4">
        <f>SUM(J548:L548)/SUM(J548:M548)</f>
        <v/>
      </c>
      <c r="P548" s="5">
        <f>MAX(J548:L548)/SUM(J548:L548)</f>
        <v/>
      </c>
    </row>
    <row r="549">
      <c r="A549" t="inlineStr">
        <is>
          <t>Segundo año</t>
        </is>
      </c>
      <c r="B549" t="inlineStr">
        <is>
          <t>Segundo periodo</t>
        </is>
      </c>
      <c r="C549" t="n">
        <v>82</v>
      </c>
      <c r="D549" t="n">
        <v>547</v>
      </c>
      <c r="E549" s="3" t="n">
        <v>46096</v>
      </c>
      <c r="F549" t="inlineStr">
        <is>
          <t>Iniciativa</t>
        </is>
      </c>
      <c r="G549" t="inlineStr">
        <is>
          <t>Dictamen con minuta de decreto por el cual se reforman, adicionan y derogan diversas disposiciones de la Ley Orgánica de la Defensoría Pública del estado</t>
        </is>
      </c>
      <c r="H549" t="n">
        <v>14</v>
      </c>
      <c r="I549" t="inlineStr">
        <is>
          <t>Justicia y Estado de Derecho</t>
        </is>
      </c>
      <c r="J549" t="n">
        <v>30</v>
      </c>
      <c r="K549" t="n">
        <v>6</v>
      </c>
      <c r="L549" t="n">
        <v>0</v>
      </c>
      <c r="M549" t="n">
        <v>0</v>
      </c>
      <c r="N549">
        <f>SUM(J549:M549)</f>
        <v/>
      </c>
      <c r="O549" s="4">
        <f>SUM(J549:L549)/SUM(J549:M549)</f>
        <v/>
      </c>
      <c r="P549" s="5">
        <f>MAX(J549:L549)/SUM(J549:L549)</f>
        <v/>
      </c>
    </row>
    <row r="550">
      <c r="A550" t="inlineStr">
        <is>
          <t>Segundo año</t>
        </is>
      </c>
      <c r="B550" t="inlineStr">
        <is>
          <t>Segundo periodo</t>
        </is>
      </c>
      <c r="C550" t="n">
        <v>83</v>
      </c>
      <c r="D550" t="n">
        <v>548</v>
      </c>
      <c r="E550" s="3" t="n">
        <v>46096</v>
      </c>
      <c r="F550" t="inlineStr">
        <is>
          <t>Iniciativa</t>
        </is>
      </c>
      <c r="G550" t="inlineStr">
        <is>
          <t>Dictamen con minuta de decreto por el cual se reforman, adicionan y derogan diversas disposiciones del Código Penal del estado</t>
        </is>
      </c>
      <c r="H550" t="n">
        <v>3</v>
      </c>
      <c r="I550" t="inlineStr">
        <is>
          <t>Seguridad Pública, Protección Civil y Narcotráfico</t>
        </is>
      </c>
      <c r="J550" t="n">
        <v>36</v>
      </c>
      <c r="K550" t="n">
        <v>0</v>
      </c>
      <c r="L550" t="n">
        <v>0</v>
      </c>
      <c r="M550" t="n">
        <v>0</v>
      </c>
      <c r="N550">
        <f>SUM(J550:M550)</f>
        <v/>
      </c>
      <c r="O550" s="4">
        <f>SUM(J550:L550)/SUM(J550:M550)</f>
        <v/>
      </c>
      <c r="P550" s="5">
        <f>MAX(J550:L550)/SUM(J550:L550)</f>
        <v/>
      </c>
    </row>
    <row r="551">
      <c r="A551" t="inlineStr">
        <is>
          <t>Segundo año</t>
        </is>
      </c>
      <c r="B551" t="inlineStr">
        <is>
          <t>Segundo periodo</t>
        </is>
      </c>
      <c r="C551" t="n">
        <v>84</v>
      </c>
      <c r="D551" t="n">
        <v>549</v>
      </c>
      <c r="E551" s="3" t="n">
        <v>46096</v>
      </c>
      <c r="F551" t="inlineStr">
        <is>
          <t>Iniciativa</t>
        </is>
      </c>
      <c r="G551" t="inlineStr">
        <is>
          <t>Dictamen con minuta de decreto por el cual se reforman los artículos 409 y 409 bis, se adiciona el artículo 409 ter, y se deroga el segundo párrafo del artículo 408 del Código Penal del estado</t>
        </is>
      </c>
      <c r="H551" t="n">
        <v>3</v>
      </c>
      <c r="I551" t="inlineStr">
        <is>
          <t>Seguridad Pública, Protección Civil y Narcotráfico</t>
        </is>
      </c>
      <c r="J551" t="n">
        <v>36</v>
      </c>
      <c r="K551" t="n">
        <v>0</v>
      </c>
      <c r="L551" t="n">
        <v>0</v>
      </c>
      <c r="M551" t="n">
        <v>0</v>
      </c>
      <c r="N551">
        <f>SUM(J551:M551)</f>
        <v/>
      </c>
      <c r="O551" s="4">
        <f>SUM(J551:L551)/SUM(J551:M551)</f>
        <v/>
      </c>
      <c r="P551" s="5">
        <f>MAX(J551:L551)/SUM(J551:L551)</f>
        <v/>
      </c>
    </row>
    <row r="552">
      <c r="A552" t="inlineStr">
        <is>
          <t>Segundo año</t>
        </is>
      </c>
      <c r="B552" t="inlineStr">
        <is>
          <t>Segundo periodo</t>
        </is>
      </c>
      <c r="C552" t="n">
        <v>85</v>
      </c>
      <c r="D552" t="n">
        <v>550</v>
      </c>
      <c r="E552" s="3" t="n">
        <v>46096</v>
      </c>
      <c r="F552" t="inlineStr">
        <is>
          <t>Iniciativa</t>
        </is>
      </c>
      <c r="G552" t="inlineStr">
        <is>
          <t>Dictamen con minuta de decreto por el cual se adicionan los artículos 192 bis y 192 ter al Código Penal del estado</t>
        </is>
      </c>
      <c r="H552" t="n">
        <v>3</v>
      </c>
      <c r="I552" t="inlineStr">
        <is>
          <t>Seguridad Pública, Protección Civil y Narcotráfico</t>
        </is>
      </c>
      <c r="J552" t="n">
        <v>36</v>
      </c>
      <c r="K552" t="n">
        <v>0</v>
      </c>
      <c r="L552" t="n">
        <v>0</v>
      </c>
      <c r="M552" t="n">
        <v>0</v>
      </c>
      <c r="N552">
        <f>SUM(J552:M552)</f>
        <v/>
      </c>
      <c r="O552" s="4">
        <f>SUM(J552:L552)/SUM(J552:M552)</f>
        <v/>
      </c>
      <c r="P552" s="5">
        <f>MAX(J552:L552)/SUM(J552:L552)</f>
        <v/>
      </c>
    </row>
    <row r="553">
      <c r="A553" t="inlineStr">
        <is>
          <t>Segundo año</t>
        </is>
      </c>
      <c r="B553" t="inlineStr">
        <is>
          <t>Segundo periodo</t>
        </is>
      </c>
      <c r="C553" t="n">
        <v>86</v>
      </c>
      <c r="D553" t="n">
        <v>551</v>
      </c>
      <c r="E553" s="3" t="n">
        <v>46096</v>
      </c>
      <c r="F553" t="inlineStr">
        <is>
          <t>Iniciativa</t>
        </is>
      </c>
      <c r="G553" t="inlineStr">
        <is>
          <t>Dictamen con minuta de decreto por el cual se declara el 17 de mayo como el día del Benemérito Ejército de Oriente</t>
        </is>
      </c>
      <c r="H553" t="n">
        <v>8</v>
      </c>
      <c r="I553" t="inlineStr">
        <is>
          <t>Educación y Cultura</t>
        </is>
      </c>
      <c r="J553" t="n">
        <v>36</v>
      </c>
      <c r="K553" t="n">
        <v>0</v>
      </c>
      <c r="L553" t="n">
        <v>0</v>
      </c>
      <c r="M553" t="n">
        <v>0</v>
      </c>
      <c r="N553">
        <f>SUM(J553:M553)</f>
        <v/>
      </c>
      <c r="O553" s="4">
        <f>SUM(J553:L553)/SUM(J553:M553)</f>
        <v/>
      </c>
      <c r="P553" s="5">
        <f>MAX(J553:L553)/SUM(J553:L553)</f>
        <v/>
      </c>
    </row>
    <row r="554">
      <c r="A554" t="inlineStr">
        <is>
          <t>Segundo año</t>
        </is>
      </c>
      <c r="B554" t="inlineStr">
        <is>
          <t>Segundo periodo</t>
        </is>
      </c>
      <c r="C554" t="n">
        <v>87</v>
      </c>
      <c r="D554" t="n">
        <v>552</v>
      </c>
      <c r="E554" s="3" t="n">
        <v>46096</v>
      </c>
      <c r="F554" t="inlineStr">
        <is>
          <t>Iniciativa</t>
        </is>
      </c>
      <c r="G554" t="inlineStr">
        <is>
          <t>Dictamen con minuta de decreto por el cual se declara Benemérito Heroico del estado al coronel Manuel Molina</t>
        </is>
      </c>
      <c r="H554" t="n">
        <v>8</v>
      </c>
      <c r="I554" t="inlineStr">
        <is>
          <t>Educación y Cultura</t>
        </is>
      </c>
      <c r="J554" t="n">
        <v>36</v>
      </c>
      <c r="K554" t="n">
        <v>0</v>
      </c>
      <c r="L554" t="n">
        <v>0</v>
      </c>
      <c r="M554" t="n">
        <v>0</v>
      </c>
      <c r="N554">
        <f>SUM(J554:M554)</f>
        <v/>
      </c>
      <c r="O554" s="4">
        <f>SUM(J554:L554)/SUM(J554:M554)</f>
        <v/>
      </c>
      <c r="P554" s="5">
        <f>MAX(J554:L554)/SUM(J554:L554)</f>
        <v/>
      </c>
    </row>
    <row r="555">
      <c r="A555" t="inlineStr">
        <is>
          <t>Segundo año</t>
        </is>
      </c>
      <c r="B555" t="inlineStr">
        <is>
          <t>Segundo periodo</t>
        </is>
      </c>
      <c r="C555" t="n">
        <v>88</v>
      </c>
      <c r="D555" t="n">
        <v>553</v>
      </c>
      <c r="E555" s="3" t="n">
        <v>46096</v>
      </c>
      <c r="F555" t="inlineStr">
        <is>
          <t>Iniciativa</t>
        </is>
      </c>
      <c r="G555" t="inlineStr">
        <is>
          <t>Dictamen con minuta de decreto por el cual se reforman y adicionan diversas disposiciones de la Ley de Cultura del estado</t>
        </is>
      </c>
      <c r="H555" t="n">
        <v>8</v>
      </c>
      <c r="I555" t="inlineStr">
        <is>
          <t>Educación y Cultura</t>
        </is>
      </c>
      <c r="J555" t="n">
        <v>36</v>
      </c>
      <c r="K555" t="n">
        <v>0</v>
      </c>
      <c r="L555" t="n">
        <v>0</v>
      </c>
      <c r="M555" t="n">
        <v>0</v>
      </c>
      <c r="N555">
        <f>SUM(J555:M555)</f>
        <v/>
      </c>
      <c r="O555" s="4">
        <f>SUM(J555:L555)/SUM(J555:M555)</f>
        <v/>
      </c>
      <c r="P555" s="5">
        <f>MAX(J555:L555)/SUM(J555:L555)</f>
        <v/>
      </c>
    </row>
    <row r="556">
      <c r="A556" t="inlineStr">
        <is>
          <t>Segundo año</t>
        </is>
      </c>
      <c r="B556" t="inlineStr">
        <is>
          <t>Segundo periodo</t>
        </is>
      </c>
      <c r="C556" t="n">
        <v>89</v>
      </c>
      <c r="D556" t="n">
        <v>554</v>
      </c>
      <c r="E556" s="3" t="n">
        <v>46096</v>
      </c>
      <c r="F556" t="inlineStr">
        <is>
          <t>Iniciativa</t>
        </is>
      </c>
      <c r="G556" t="inlineStr">
        <is>
          <t>Dictamen con minuta de decreto por el cual se reforman, adicionan y derogan diversas disposiciones del Código de Instituciones y Procesos Electorales del estado</t>
        </is>
      </c>
      <c r="H556" t="n">
        <v>4</v>
      </c>
      <c r="I556" t="inlineStr">
        <is>
          <t>Partidos Políticos y Elecciones</t>
        </is>
      </c>
      <c r="J556" t="n">
        <v>29</v>
      </c>
      <c r="K556" t="n">
        <v>7</v>
      </c>
      <c r="L556" t="n">
        <v>0</v>
      </c>
      <c r="M556" t="n">
        <v>0</v>
      </c>
      <c r="N556">
        <f>SUM(J556:M556)</f>
        <v/>
      </c>
      <c r="O556" s="4">
        <f>SUM(J556:L556)/SUM(J556:M556)</f>
        <v/>
      </c>
      <c r="P556" s="5">
        <f>MAX(J556:L556)/SUM(J556:L556)</f>
        <v/>
      </c>
    </row>
    <row r="557">
      <c r="A557" t="inlineStr">
        <is>
          <t>Segundo año</t>
        </is>
      </c>
      <c r="B557" t="inlineStr">
        <is>
          <t>Segundo periodo</t>
        </is>
      </c>
      <c r="C557" t="n">
        <v>90</v>
      </c>
      <c r="D557" t="n">
        <v>555</v>
      </c>
      <c r="E557" s="3" t="n">
        <v>46096</v>
      </c>
      <c r="F557" t="inlineStr">
        <is>
          <t>Iniciativa</t>
        </is>
      </c>
      <c r="G557" t="inlineStr">
        <is>
          <t>Dictamen con minuta de decreto por el cual se reforman la fracción XV del artículo 32 y la XL del artículo 47 de la Ley Orgánica de la Administración Pública del estado</t>
        </is>
      </c>
      <c r="H557" t="n">
        <v>18</v>
      </c>
      <c r="I557" t="inlineStr">
        <is>
          <t>Administración Pública</t>
        </is>
      </c>
      <c r="J557" t="n">
        <v>29</v>
      </c>
      <c r="K557" t="n">
        <v>7</v>
      </c>
      <c r="L557" t="n">
        <v>0</v>
      </c>
      <c r="M557" t="n">
        <v>0</v>
      </c>
      <c r="N557">
        <f>SUM(J557:M557)</f>
        <v/>
      </c>
      <c r="O557" s="4">
        <f>SUM(J557:L557)/SUM(J557:M557)</f>
        <v/>
      </c>
      <c r="P557" s="5">
        <f>MAX(J557:L557)/SUM(J557:L557)</f>
        <v/>
      </c>
    </row>
    <row r="558">
      <c r="A558" t="inlineStr">
        <is>
          <t>Segundo año</t>
        </is>
      </c>
      <c r="B558" t="inlineStr">
        <is>
          <t>Segundo periodo</t>
        </is>
      </c>
      <c r="C558" t="n">
        <v>91</v>
      </c>
      <c r="D558" t="n">
        <v>556</v>
      </c>
      <c r="E558" s="3" t="n">
        <v>46096</v>
      </c>
      <c r="F558" t="inlineStr">
        <is>
          <t>Iniciativa</t>
        </is>
      </c>
      <c r="G558" t="inlineStr">
        <is>
          <t>Dictamen con minuta de decreto por el cual se reforman los artículos 1, 3, 6, 14, 16, 28, 46, 47 y 48 de la Ley de Responsabilidades de los Servidores Públicos del estado</t>
        </is>
      </c>
      <c r="H558" t="n">
        <v>10</v>
      </c>
      <c r="I558" t="inlineStr">
        <is>
          <t>Transparencia y Rendición de Cuentas</t>
        </is>
      </c>
      <c r="J558" t="n">
        <v>29</v>
      </c>
      <c r="K558" t="n">
        <v>6</v>
      </c>
      <c r="L558" t="n">
        <v>1</v>
      </c>
      <c r="M558" t="n">
        <v>0</v>
      </c>
      <c r="N558">
        <f>SUM(J558:M558)</f>
        <v/>
      </c>
      <c r="O558" s="4">
        <f>SUM(J558:L558)/SUM(J558:M558)</f>
        <v/>
      </c>
      <c r="P558" s="5">
        <f>MAX(J558:L558)/SUM(J558:L558)</f>
        <v/>
      </c>
    </row>
    <row r="559">
      <c r="A559" t="inlineStr">
        <is>
          <t>Segundo año</t>
        </is>
      </c>
      <c r="B559" t="inlineStr">
        <is>
          <t>Segundo periodo</t>
        </is>
      </c>
      <c r="C559" t="n">
        <v>92</v>
      </c>
      <c r="D559" t="n">
        <v>557</v>
      </c>
      <c r="E559" s="3" t="n">
        <v>46096</v>
      </c>
      <c r="F559" t="inlineStr">
        <is>
          <t>Punto de Acuerdo</t>
        </is>
      </c>
      <c r="G559" t="inlineStr">
        <is>
          <t>Acuerdo por el cual se designa como presidente sustituto del Concejo Municipal de Cuautempan, al C. Miguel Guadalupe Morales Zenteno</t>
        </is>
      </c>
      <c r="H559" t="n">
        <v>18</v>
      </c>
      <c r="I559" t="inlineStr">
        <is>
          <t>Administración Pública</t>
        </is>
      </c>
      <c r="J559" t="n">
        <v>30</v>
      </c>
      <c r="K559" t="n">
        <v>6</v>
      </c>
      <c r="L559" t="n">
        <v>0</v>
      </c>
      <c r="M559" t="n">
        <v>0</v>
      </c>
      <c r="N559">
        <f>SUM(J559:M559)</f>
        <v/>
      </c>
      <c r="O559" s="4">
        <f>SUM(J559:L559)/SUM(J559:M559)</f>
        <v/>
      </c>
      <c r="P559" s="5">
        <f>MAX(J559:L559)/SUM(J559:L559)</f>
        <v/>
      </c>
    </row>
    <row r="560">
      <c r="A560" t="inlineStr">
        <is>
          <t>Segundo año</t>
        </is>
      </c>
      <c r="B560" t="inlineStr">
        <is>
          <t>Segundo periodo</t>
        </is>
      </c>
      <c r="C560" t="n">
        <v>93</v>
      </c>
      <c r="D560" t="n">
        <v>558</v>
      </c>
      <c r="E560" s="3" t="n">
        <v>46096</v>
      </c>
      <c r="F560" t="inlineStr">
        <is>
          <t>Punto de Acuerdo</t>
        </is>
      </c>
      <c r="G560" t="inlineStr">
        <is>
          <t>Acuerdo por el que se exhorta a los poderes ejecutivo y judicial, a los organismos constitucionalmente autónomos y ayuntamientos a adherirse a la campaña “La Hora del Planeta”</t>
        </is>
      </c>
      <c r="H560" t="n">
        <v>5</v>
      </c>
      <c r="I560" t="inlineStr">
        <is>
          <t>Medio Ambiente</t>
        </is>
      </c>
      <c r="J560" t="n">
        <v>36</v>
      </c>
      <c r="K560" t="n">
        <v>0</v>
      </c>
      <c r="L560" t="n">
        <v>0</v>
      </c>
      <c r="M560" t="n">
        <v>0</v>
      </c>
      <c r="N560">
        <f>SUM(J560:M560)</f>
        <v/>
      </c>
      <c r="O560" s="4">
        <f>SUM(J560:L560)/SUM(J560:M560)</f>
        <v/>
      </c>
      <c r="P560" s="5">
        <f>MAX(J560:L560)/SUM(J560:L560)</f>
        <v/>
      </c>
    </row>
    <row r="561">
      <c r="A561" t="inlineStr">
        <is>
          <t>Segundo año</t>
        </is>
      </c>
      <c r="B561" t="inlineStr">
        <is>
          <t>Segundo periodo</t>
        </is>
      </c>
      <c r="C561" t="n">
        <v>94</v>
      </c>
      <c r="D561" t="n">
        <v>559</v>
      </c>
      <c r="E561" s="3" t="n">
        <v>46096</v>
      </c>
      <c r="F561" t="inlineStr">
        <is>
          <t>Punto de Acuerdo</t>
        </is>
      </c>
      <c r="G561" t="inlineStr">
        <is>
          <t>Acuerdo por el que se exhorta a los ayuntamientos a promover la capacitación de su personal y mejorar la accesibilidad de espacios públicos para personas con discapacidad</t>
        </is>
      </c>
      <c r="H561" t="n">
        <v>2</v>
      </c>
      <c r="I561" t="inlineStr">
        <is>
          <t>Pobreza y Política Social</t>
        </is>
      </c>
      <c r="J561" t="n">
        <v>36</v>
      </c>
      <c r="K561" t="n">
        <v>0</v>
      </c>
      <c r="L561" t="n">
        <v>0</v>
      </c>
      <c r="M561" t="n">
        <v>0</v>
      </c>
      <c r="N561">
        <f>SUM(J561:M561)</f>
        <v/>
      </c>
      <c r="O561" s="4">
        <f>SUM(J561:L561)/SUM(J561:M561)</f>
        <v/>
      </c>
      <c r="P561" s="5">
        <f>MAX(J561:L561)/SUM(J561:L561)</f>
        <v/>
      </c>
    </row>
    <row r="562">
      <c r="A562" t="inlineStr">
        <is>
          <t>Segundo año</t>
        </is>
      </c>
      <c r="B562" t="inlineStr">
        <is>
          <t>Segundo periodo</t>
        </is>
      </c>
      <c r="C562" t="n">
        <v>95</v>
      </c>
      <c r="D562" t="n">
        <v>560</v>
      </c>
      <c r="E562" s="3" t="n">
        <v>46098</v>
      </c>
      <c r="F562" t="inlineStr">
        <is>
          <t>Punto de Acuerdo</t>
        </is>
      </c>
      <c r="G562" t="inlineStr">
        <is>
          <t>Acuerdo por el cual se determina el lugar de las sesiones</t>
        </is>
      </c>
      <c r="H562" t="n">
        <v>19</v>
      </c>
      <c r="I562" t="inlineStr">
        <is>
          <t>Internos del Congreso</t>
        </is>
      </c>
      <c r="J562" t="n">
        <v>8</v>
      </c>
      <c r="K562" t="n">
        <v>0</v>
      </c>
      <c r="L562" t="n">
        <v>0</v>
      </c>
      <c r="M562" t="n">
        <v>0</v>
      </c>
      <c r="N562">
        <f>SUM(J562:M562)</f>
        <v/>
      </c>
      <c r="O562" s="4">
        <f>SUM(J562:L562)/SUM(J562:M562)</f>
        <v/>
      </c>
      <c r="P562" s="5">
        <f>MAX(J562:L562)/SUM(J562:L562)</f>
        <v/>
      </c>
    </row>
    <row r="563">
      <c r="A563" t="inlineStr">
        <is>
          <t>Segundo año</t>
        </is>
      </c>
      <c r="B563" t="inlineStr">
        <is>
          <t>Segundo periodo</t>
        </is>
      </c>
      <c r="C563" t="n">
        <v>96</v>
      </c>
      <c r="D563" t="n">
        <v>561</v>
      </c>
      <c r="E563" s="3" t="n">
        <v>46108</v>
      </c>
      <c r="F563" t="inlineStr">
        <is>
          <t>Punto de Acuerdo</t>
        </is>
      </c>
      <c r="G563" t="inlineStr">
        <is>
          <t>Acuerdo por el cual exhorta al ayuntamiento y al organismo operador de los servicios de agua potable y alcantarillado de Tehuacán</t>
        </is>
      </c>
      <c r="H563" t="n">
        <v>11</v>
      </c>
      <c r="I563" t="inlineStr">
        <is>
          <t>Infraestructura, Movilidad y Transporte</t>
        </is>
      </c>
      <c r="J563" t="n">
        <v>9</v>
      </c>
      <c r="K563" t="n">
        <v>0</v>
      </c>
      <c r="L563" t="n">
        <v>0</v>
      </c>
      <c r="M563" t="n">
        <v>0</v>
      </c>
      <c r="N563">
        <f>SUM(J563:M563)</f>
        <v/>
      </c>
      <c r="O563" s="4">
        <f>SUM(J563:L563)/SUM(J563:M563)</f>
        <v/>
      </c>
      <c r="P563" s="5">
        <f>MAX(J563:L563)/SUM(J563:L563)</f>
        <v/>
      </c>
    </row>
    <row r="564">
      <c r="A564" t="inlineStr">
        <is>
          <t>Segundo año</t>
        </is>
      </c>
      <c r="B564" t="inlineStr">
        <is>
          <t>Segundo periodo</t>
        </is>
      </c>
      <c r="C564" t="n">
        <v>97</v>
      </c>
      <c r="D564" t="n">
        <v>562</v>
      </c>
      <c r="E564" s="3" t="n">
        <v>46108</v>
      </c>
      <c r="F564" t="inlineStr">
        <is>
          <t>Punto de Acuerdo</t>
        </is>
      </c>
      <c r="G564" t="inlineStr">
        <is>
          <t>Acuerdo por el que se convoca a una sesión extraordinaria</t>
        </is>
      </c>
      <c r="H564" t="n">
        <v>19</v>
      </c>
      <c r="I564" t="inlineStr">
        <is>
          <t>Internos del Congreso</t>
        </is>
      </c>
      <c r="J564" t="n">
        <v>9</v>
      </c>
      <c r="K564" t="n">
        <v>0</v>
      </c>
      <c r="L564" t="n">
        <v>0</v>
      </c>
      <c r="M564" t="n">
        <v>0</v>
      </c>
      <c r="N564">
        <f>SUM(J564:M564)</f>
        <v/>
      </c>
      <c r="O564" s="4">
        <f>SUM(J564:L564)/SUM(J564:M564)</f>
        <v/>
      </c>
      <c r="P564" s="5">
        <f>MAX(J564:L564)/SUM(J564:L564)</f>
        <v/>
      </c>
    </row>
    <row r="565">
      <c r="A565" t="inlineStr">
        <is>
          <t>Segundo año</t>
        </is>
      </c>
      <c r="B565" t="inlineStr">
        <is>
          <t>Segundo periodo</t>
        </is>
      </c>
      <c r="C565" t="n">
        <v>98</v>
      </c>
      <c r="D565" t="n">
        <v>563</v>
      </c>
      <c r="E565" s="3" t="n">
        <v>46108</v>
      </c>
      <c r="F565" t="inlineStr">
        <is>
          <t>Iniciativa</t>
        </is>
      </c>
      <c r="G565" t="inlineStr">
        <is>
          <t>Dictamen con minuta Proyecto de decreto que presenta la Comisión de Gobernación y Puntos Constitucionales por el cual se reforma y adiciona el artículo 127 de la Constitución Política de los Estados Unidos Mexicanos</t>
        </is>
      </c>
      <c r="H565" t="n">
        <v>18</v>
      </c>
      <c r="I565" t="inlineStr">
        <is>
          <t>Administración Pública</t>
        </is>
      </c>
      <c r="J565" t="n">
        <v>37</v>
      </c>
      <c r="K565" t="n">
        <v>0</v>
      </c>
      <c r="L565" t="n">
        <v>0</v>
      </c>
      <c r="M565" t="n">
        <v>4</v>
      </c>
      <c r="N565">
        <f>SUM(J565:M565)</f>
        <v/>
      </c>
      <c r="O565" s="4">
        <f>SUM(J565:L565)/SUM(J565:M565)</f>
        <v/>
      </c>
      <c r="P565" s="5">
        <f>MAX(J565:L565)/SUM(J565:L565)</f>
        <v/>
      </c>
    </row>
    <row r="566">
      <c r="A566" t="inlineStr">
        <is>
          <t>Segundo año</t>
        </is>
      </c>
      <c r="B566" t="inlineStr">
        <is>
          <t>Segundo periodo</t>
        </is>
      </c>
      <c r="C566" t="n">
        <v>99</v>
      </c>
      <c r="D566" t="n">
        <v>564</v>
      </c>
      <c r="E566" s="3" t="n">
        <v>46121</v>
      </c>
      <c r="F566" t="inlineStr">
        <is>
          <t>Punto de Acuerdo</t>
        </is>
      </c>
      <c r="G566" t="inlineStr">
        <is>
          <t>Acuerdo por el que se exhorta a la secretaría de agricultura y desarrollo rural, a la secretaría de medio ambiente, desarrollo sustentable y ordenamiento territorial, y a la secretaría de salud, todas del estado, para que, de manera coordinada y en el ámbito de sus respectivas competencias, difundan campañas de concientización y fortalezcan la supervisión sobre el manejo y aplicación de plaguicidas, incluyendo herbicidas, en zonas de cultivo de tubérculos en la entidad, con el fin de dar a conocer sus consecuencias en la salud humana; así como para que promuevan prácticas agrícolas seguras y sustentables en beneficio del medio ambiente y de los y las poblanas</t>
        </is>
      </c>
      <c r="H566" t="n">
        <v>5</v>
      </c>
      <c r="I566" t="inlineStr">
        <is>
          <t>Medio Ambiente</t>
        </is>
      </c>
      <c r="J566" t="n">
        <v>9</v>
      </c>
      <c r="K566" t="n">
        <v>0</v>
      </c>
      <c r="L566" t="n">
        <v>0</v>
      </c>
      <c r="M566" t="n">
        <v>0</v>
      </c>
      <c r="N566">
        <f>SUM(J566:M566)</f>
        <v/>
      </c>
      <c r="O566" s="4">
        <f>SUM(J566:L566)/SUM(J566:M566)</f>
        <v/>
      </c>
      <c r="P566" s="5">
        <f>MAX(J566:L566)/SUM(J566:L566)</f>
        <v/>
      </c>
    </row>
    <row r="567">
      <c r="A567" t="inlineStr">
        <is>
          <t>Segundo año</t>
        </is>
      </c>
      <c r="B567" t="inlineStr">
        <is>
          <t>Segundo periodo</t>
        </is>
      </c>
      <c r="C567" t="n">
        <v>100</v>
      </c>
      <c r="D567" t="n">
        <v>565</v>
      </c>
      <c r="E567" s="3" t="n">
        <v>46121</v>
      </c>
      <c r="F567" t="inlineStr">
        <is>
          <t>Punto de Acuerdo</t>
        </is>
      </c>
      <c r="G567" t="inlineStr">
        <is>
          <t>Acuerdo por el que se convoca a una sesión extraordinaria</t>
        </is>
      </c>
      <c r="H567" t="n">
        <v>19</v>
      </c>
      <c r="I567" t="inlineStr">
        <is>
          <t>Internos del Congreso</t>
        </is>
      </c>
      <c r="J567" t="n">
        <v>9</v>
      </c>
      <c r="K567" t="n">
        <v>0</v>
      </c>
      <c r="L567" t="n">
        <v>0</v>
      </c>
      <c r="M567" t="n">
        <v>0</v>
      </c>
      <c r="N567">
        <f>SUM(J567:M567)</f>
        <v/>
      </c>
      <c r="O567" s="4">
        <f>SUM(J567:L567)/SUM(J567:M567)</f>
        <v/>
      </c>
      <c r="P567" s="5">
        <f>MAX(J567:L567)/SUM(J567:L567)</f>
        <v/>
      </c>
    </row>
    <row r="568">
      <c r="A568" t="inlineStr">
        <is>
          <t>Segundo año</t>
        </is>
      </c>
      <c r="B568" t="inlineStr">
        <is>
          <t>Segundo periodo</t>
        </is>
      </c>
      <c r="C568" t="n">
        <v>101</v>
      </c>
      <c r="D568" t="n">
        <v>566</v>
      </c>
      <c r="E568" s="3" t="n">
        <v>46121</v>
      </c>
      <c r="F568" t="inlineStr">
        <is>
          <t>Iniciativa</t>
        </is>
      </c>
      <c r="G568" t="inlineStr">
        <is>
          <t>Dictamen con minuta Proyecto de decreto que presenta la Comisión de Gobernación y Puntos Constitucionales</t>
        </is>
      </c>
      <c r="H568" t="n">
        <v>18</v>
      </c>
      <c r="I568" t="inlineStr">
        <is>
          <t>Administración Pública</t>
        </is>
      </c>
      <c r="J568" t="n">
        <v>34</v>
      </c>
      <c r="K568" t="n">
        <v>6</v>
      </c>
      <c r="L568" t="n">
        <v>0</v>
      </c>
      <c r="M568" t="n">
        <v>1</v>
      </c>
      <c r="N568">
        <f>SUM(J568:M568)</f>
        <v/>
      </c>
      <c r="O568" s="4">
        <f>SUM(J568:L568)/SUM(J568:M568)</f>
        <v/>
      </c>
      <c r="P568" s="5">
        <f>MAX(J568:L568)/SUM(J568:L568)</f>
        <v/>
      </c>
    </row>
    <row r="569">
      <c r="A569" t="inlineStr">
        <is>
          <t>Segundo año</t>
        </is>
      </c>
      <c r="B569" t="inlineStr">
        <is>
          <t>Segundo periodo</t>
        </is>
      </c>
      <c r="C569" t="n">
        <v>102</v>
      </c>
      <c r="D569" t="n">
        <v>567</v>
      </c>
      <c r="E569" s="3" t="n">
        <v>46128</v>
      </c>
      <c r="F569" t="inlineStr">
        <is>
          <t>Punto de Acuerdo</t>
        </is>
      </c>
      <c r="G569" t="inlineStr">
        <is>
          <t>Acuerdo por el cual la dispensa de lectura</t>
        </is>
      </c>
      <c r="H569" t="n">
        <v>19</v>
      </c>
      <c r="I569" t="inlineStr">
        <is>
          <t>Internos del Congreso</t>
        </is>
      </c>
      <c r="J569" t="n">
        <v>8</v>
      </c>
      <c r="K569" t="n">
        <v>0</v>
      </c>
      <c r="L569" t="n">
        <v>0</v>
      </c>
      <c r="M569" t="n">
        <v>0</v>
      </c>
      <c r="N569">
        <f>SUM(J569:M569)</f>
        <v/>
      </c>
      <c r="O569" s="4">
        <f>SUM(J569:L569)/SUM(J569:M569)</f>
        <v/>
      </c>
      <c r="P569" s="5">
        <f>MAX(J569:L569)/SUM(J569:L569)</f>
        <v/>
      </c>
    </row>
    <row r="570">
      <c r="A570" t="inlineStr">
        <is>
          <t>Segundo año</t>
        </is>
      </c>
      <c r="B570" t="inlineStr">
        <is>
          <t>Segundo periodo</t>
        </is>
      </c>
      <c r="C570" t="n">
        <v>103</v>
      </c>
      <c r="D570" t="n">
        <v>568</v>
      </c>
      <c r="E570" s="3" t="n">
        <v>46128</v>
      </c>
      <c r="F570" t="inlineStr">
        <is>
          <t>Punto de Acuerdo</t>
        </is>
      </c>
      <c r="G570" t="inlineStr">
        <is>
          <t>Acuerdo por el cual la dispensa de lectura del acta de la sesión celebrada el nueve de abril</t>
        </is>
      </c>
      <c r="H570" t="n">
        <v>19</v>
      </c>
      <c r="I570" t="inlineStr">
        <is>
          <t>Internos del Congreso</t>
        </is>
      </c>
      <c r="J570" t="n">
        <v>8</v>
      </c>
      <c r="K570" t="n">
        <v>0</v>
      </c>
      <c r="L570" t="n">
        <v>0</v>
      </c>
      <c r="M570" t="n">
        <v>0</v>
      </c>
      <c r="N570">
        <f>SUM(J570:M570)</f>
        <v/>
      </c>
      <c r="O570" s="4">
        <f>SUM(J570:L570)/SUM(J570:M570)</f>
        <v/>
      </c>
      <c r="P570" s="5">
        <f>MAX(J570:L570)/SUM(J570:L570)</f>
        <v/>
      </c>
    </row>
    <row r="571">
      <c r="A571" t="inlineStr">
        <is>
          <t>Segundo año</t>
        </is>
      </c>
      <c r="B571" t="inlineStr">
        <is>
          <t>Segundo periodo</t>
        </is>
      </c>
      <c r="C571" t="n">
        <v>104</v>
      </c>
      <c r="D571" t="n">
        <v>569</v>
      </c>
      <c r="E571" s="3" t="n">
        <v>46128</v>
      </c>
      <c r="F571" t="inlineStr">
        <is>
          <t>Punto de Acuerdo</t>
        </is>
      </c>
      <c r="G571" t="inlineStr">
        <is>
          <t>Acuerdo por el cual el contenido del acta</t>
        </is>
      </c>
      <c r="H571" t="n">
        <v>19</v>
      </c>
      <c r="I571" t="inlineStr">
        <is>
          <t>Internos del Congreso</t>
        </is>
      </c>
      <c r="J571" t="n">
        <v>8</v>
      </c>
      <c r="K571" t="n">
        <v>0</v>
      </c>
      <c r="L571" t="n">
        <v>0</v>
      </c>
      <c r="M571" t="n">
        <v>0</v>
      </c>
      <c r="N571">
        <f>SUM(J571:M571)</f>
        <v/>
      </c>
      <c r="O571" s="4">
        <f>SUM(J571:L571)/SUM(J571:M571)</f>
        <v/>
      </c>
      <c r="P571" s="5">
        <f>MAX(J571:L571)/SUM(J571:L571)</f>
        <v/>
      </c>
    </row>
    <row r="572">
      <c r="A572" t="inlineStr">
        <is>
          <t>Segundo año</t>
        </is>
      </c>
      <c r="B572" t="inlineStr">
        <is>
          <t>Segundo periodo</t>
        </is>
      </c>
      <c r="C572" t="n">
        <v>105</v>
      </c>
      <c r="D572" t="n">
        <v>570</v>
      </c>
      <c r="E572" s="3" t="n">
        <v>46128</v>
      </c>
      <c r="F572" t="inlineStr">
        <is>
          <t>Punto de Acuerdo</t>
        </is>
      </c>
      <c r="G572" t="inlineStr">
        <is>
          <t>Acuerdo por el cual la solicitud de retiro del orden del día</t>
        </is>
      </c>
      <c r="H572" t="n">
        <v>19</v>
      </c>
      <c r="I572" t="inlineStr">
        <is>
          <t>Internos del Congreso</t>
        </is>
      </c>
      <c r="J572" t="n">
        <v>8</v>
      </c>
      <c r="K572" t="n">
        <v>0</v>
      </c>
      <c r="L572" t="n">
        <v>0</v>
      </c>
      <c r="M572" t="n">
        <v>0</v>
      </c>
      <c r="N572">
        <f>SUM(J572:M572)</f>
        <v/>
      </c>
      <c r="O572" s="4">
        <f>SUM(J572:L572)/SUM(J572:M572)</f>
        <v/>
      </c>
      <c r="P572" s="5">
        <f>MAX(J572:L572)/SUM(J572:L572)</f>
        <v/>
      </c>
    </row>
    <row r="573">
      <c r="A573" t="inlineStr">
        <is>
          <t>Segundo año</t>
        </is>
      </c>
      <c r="B573" t="inlineStr">
        <is>
          <t>Segundo periodo</t>
        </is>
      </c>
      <c r="C573" t="n">
        <v>106</v>
      </c>
      <c r="D573" t="n">
        <v>571</v>
      </c>
      <c r="E573" s="3" t="n">
        <v>46135</v>
      </c>
      <c r="F573" t="inlineStr">
        <is>
          <t>Punto de Acuerdo</t>
        </is>
      </c>
      <c r="G573" t="inlineStr">
        <is>
          <t>Acuerdo por el cual exhorta a los doscientos doce ayuntamientos y cinco concejos municipales del estado, para que promuevan la capacitación y profesionalización de su personal dentro del horario laboral.</t>
        </is>
      </c>
      <c r="H573" t="n">
        <v>18</v>
      </c>
      <c r="I573" t="inlineStr">
        <is>
          <t>Administración Pública</t>
        </is>
      </c>
      <c r="J573" t="n">
        <v>6</v>
      </c>
      <c r="K573" t="n">
        <v>0</v>
      </c>
      <c r="L573" t="n">
        <v>0</v>
      </c>
      <c r="M573" t="n">
        <v>35</v>
      </c>
      <c r="N573">
        <f>SUM(J573:M573)</f>
        <v/>
      </c>
      <c r="O573" s="4">
        <f>SUM(J573:L573)/SUM(J573:M573)</f>
        <v/>
      </c>
      <c r="P573" s="5">
        <f>MAX(J573:L573)/SUM(J573:L573)</f>
        <v/>
      </c>
    </row>
    <row r="574">
      <c r="A574" t="inlineStr">
        <is>
          <t>Segundo año</t>
        </is>
      </c>
      <c r="B574" t="inlineStr">
        <is>
          <t>Segundo periodo</t>
        </is>
      </c>
      <c r="C574" t="n">
        <v>107</v>
      </c>
      <c r="D574" t="n">
        <v>572</v>
      </c>
      <c r="E574" s="3" t="n">
        <v>46135</v>
      </c>
      <c r="F574" t="inlineStr">
        <is>
          <t>Punto de Acuerdo</t>
        </is>
      </c>
      <c r="G574" t="inlineStr">
        <is>
          <t>Acuerdo por el cual exhorta al honorable congreso de la unión, para que valoren la factibilidad de reformar la ley federal del trabajo en favor de personas con discapacidad.</t>
        </is>
      </c>
      <c r="H574" t="n">
        <v>16</v>
      </c>
      <c r="I574" t="inlineStr">
        <is>
          <t>Trabajo y Previsión Social</t>
        </is>
      </c>
      <c r="J574" t="n">
        <v>6</v>
      </c>
      <c r="K574" t="n">
        <v>0</v>
      </c>
      <c r="L574" t="n">
        <v>0</v>
      </c>
      <c r="M574" t="n">
        <v>35</v>
      </c>
      <c r="N574">
        <f>SUM(J574:M574)</f>
        <v/>
      </c>
      <c r="O574" s="4">
        <f>SUM(J574:L574)/SUM(J574:M574)</f>
        <v/>
      </c>
      <c r="P574" s="5">
        <f>MAX(J574:L574)/SUM(J574:L574)</f>
        <v/>
      </c>
    </row>
    <row r="575">
      <c r="A575" t="inlineStr">
        <is>
          <t>Segundo año</t>
        </is>
      </c>
      <c r="B575" t="inlineStr">
        <is>
          <t>Segundo periodo</t>
        </is>
      </c>
      <c r="C575" t="n">
        <v>108</v>
      </c>
      <c r="D575" t="n">
        <v>573</v>
      </c>
      <c r="E575" s="3" t="n">
        <v>46135</v>
      </c>
      <c r="F575" t="inlineStr">
        <is>
          <t>Punto de Acuerdo</t>
        </is>
      </c>
      <c r="G575" t="inlineStr">
        <is>
          <t>Acuerdo por el cual exhorta a la secretaría de las mujeres para realizar campañas de difusión y capacitación para fomentar las nuevas masculinidades.</t>
        </is>
      </c>
      <c r="H575" t="n">
        <v>20</v>
      </c>
      <c r="I575" t="inlineStr">
        <is>
          <t>Justicia y Estado de Derecho en temas de Mujeres</t>
        </is>
      </c>
      <c r="J575" t="n">
        <v>6</v>
      </c>
      <c r="K575" t="n">
        <v>0</v>
      </c>
      <c r="L575" t="n">
        <v>0</v>
      </c>
      <c r="M575" t="n">
        <v>35</v>
      </c>
      <c r="N575">
        <f>SUM(J575:M575)</f>
        <v/>
      </c>
      <c r="O575" s="4">
        <f>SUM(J575:L575)/SUM(J575:M575)</f>
        <v/>
      </c>
      <c r="P575" s="5">
        <f>MAX(J575:L575)/SUM(J575:L575)</f>
        <v/>
      </c>
    </row>
    <row r="576">
      <c r="A576" t="inlineStr">
        <is>
          <t>Segundo año</t>
        </is>
      </c>
      <c r="B576" t="inlineStr">
        <is>
          <t>Segundo periodo</t>
        </is>
      </c>
      <c r="C576" t="n">
        <v>109</v>
      </c>
      <c r="D576" t="n">
        <v>574</v>
      </c>
      <c r="E576" s="3" t="n">
        <v>46135</v>
      </c>
      <c r="F576" t="inlineStr">
        <is>
          <t>Punto de Acuerdo</t>
        </is>
      </c>
      <c r="G576" t="inlineStr">
        <is>
          <t>Acuerdo por el cual exhorta a la secretaría de gobernación y a la secretaría de las mujeres para implementar capacitaciones de educación financiera al interior de las casas carmen serdán.</t>
        </is>
      </c>
      <c r="H576" t="n">
        <v>20</v>
      </c>
      <c r="I576" t="inlineStr">
        <is>
          <t>Justicia y Estado de Derecho en temas de Mujeres</t>
        </is>
      </c>
      <c r="J576" t="n">
        <v>7</v>
      </c>
      <c r="K576" t="n">
        <v>0</v>
      </c>
      <c r="L576" t="n">
        <v>0</v>
      </c>
      <c r="M576" t="n">
        <v>34</v>
      </c>
      <c r="N576">
        <f>SUM(J576:M576)</f>
        <v/>
      </c>
      <c r="O576" s="4">
        <f>SUM(J576:L576)/SUM(J576:M576)</f>
        <v/>
      </c>
      <c r="P576" s="5">
        <f>MAX(J576:L576)/SUM(J576:L576)</f>
        <v/>
      </c>
    </row>
    <row r="577">
      <c r="A577" t="inlineStr">
        <is>
          <t>Segundo año</t>
        </is>
      </c>
      <c r="B577" t="inlineStr">
        <is>
          <t>Segundo periodo</t>
        </is>
      </c>
      <c r="C577" t="n">
        <v>110</v>
      </c>
      <c r="D577" t="n">
        <v>575</v>
      </c>
      <c r="E577" s="3" t="n">
        <v>46135</v>
      </c>
      <c r="F577" t="inlineStr">
        <is>
          <t>Punto de Acuerdo</t>
        </is>
      </c>
      <c r="G577" t="inlineStr">
        <is>
          <t>Acuerdo por el cual se convoca a una sesión extraordinaria.</t>
        </is>
      </c>
      <c r="H577" t="n">
        <v>19</v>
      </c>
      <c r="I577" t="inlineStr">
        <is>
          <t>Internos del Congreso</t>
        </is>
      </c>
      <c r="J577" t="n">
        <v>9</v>
      </c>
      <c r="K577" t="n">
        <v>0</v>
      </c>
      <c r="L577" t="n">
        <v>0</v>
      </c>
      <c r="M577" t="n">
        <v>0</v>
      </c>
      <c r="N577">
        <f>SUM(J577:M577)</f>
        <v/>
      </c>
      <c r="O577" s="4">
        <f>SUM(J577:L577)/SUM(J577:M577)</f>
        <v/>
      </c>
      <c r="P577" s="5">
        <f>MAX(J577:L577)/SUM(J577:L577)</f>
        <v/>
      </c>
    </row>
    <row r="578">
      <c r="A578" t="inlineStr">
        <is>
          <t>Segundo año</t>
        </is>
      </c>
      <c r="B578" t="inlineStr">
        <is>
          <t>Segundo periodo</t>
        </is>
      </c>
      <c r="C578" t="n">
        <v>111</v>
      </c>
      <c r="D578" t="n">
        <v>576</v>
      </c>
      <c r="E578" s="3" t="n">
        <v>46135</v>
      </c>
      <c r="F578" t="inlineStr">
        <is>
          <t>Iniciativa</t>
        </is>
      </c>
      <c r="G578" t="inlineStr">
        <is>
          <t>Dictamen con minuta Proyecto de decreto que presenta la Comisión de Gobernación y Puntos Constitucionales por el cual se reforma el artículo 73, fracción XXI, inciso a), de la Constitución Política de los Estados Unidos Mexicanos, en materia de feminicidio</t>
        </is>
      </c>
      <c r="H578" t="n">
        <v>20</v>
      </c>
      <c r="I578" t="inlineStr">
        <is>
          <t>Justicia y Estado de Derecho en temas de Mujeres</t>
        </is>
      </c>
      <c r="J578" t="n">
        <v>37</v>
      </c>
      <c r="K578" t="n">
        <v>0</v>
      </c>
      <c r="L578" t="n">
        <v>0</v>
      </c>
      <c r="M578" t="n">
        <v>4</v>
      </c>
      <c r="N578">
        <f>SUM(J578:M578)</f>
        <v/>
      </c>
      <c r="O578" s="4">
        <f>SUM(J578:L578)/SUM(J578:M578)</f>
        <v/>
      </c>
      <c r="P578" s="5">
        <f>MAX(J578:L578)/SUM(J578:L578)</f>
        <v/>
      </c>
    </row>
    <row r="579">
      <c r="A579" t="inlineStr">
        <is>
          <t>Segundo año</t>
        </is>
      </c>
      <c r="B579" t="inlineStr">
        <is>
          <t>Segundo periodo</t>
        </is>
      </c>
      <c r="C579" t="n">
        <v>112</v>
      </c>
      <c r="D579" t="n">
        <v>577</v>
      </c>
      <c r="E579" s="3" t="n">
        <v>46142</v>
      </c>
      <c r="F579" t="inlineStr">
        <is>
          <t>Punto de Acuerdo</t>
        </is>
      </c>
      <c r="G579" t="inlineStr">
        <is>
          <t>Acuerdo por el que se exhorta a la secretaría de Infraestructura, Comunicaciones y Transportes, delegación - tlaxcala, y a la secretaría de Movilidad y Transporte del estado, para que, de manera coordinada y en el ámbito de sus respectivas competencias, implementen operativos de supervisión, verificación y, en su caso, sanción de las empresas que ostentando permisos turísticos estatales o placas federales, presten servicios interurbanos sin la autorización legal correspondiente</t>
        </is>
      </c>
      <c r="H579" t="n">
        <v>11</v>
      </c>
      <c r="I579" t="inlineStr">
        <is>
          <t>Infraestructura, Movilidad y Transporte</t>
        </is>
      </c>
      <c r="J579" t="n">
        <v>7</v>
      </c>
      <c r="K579" t="n">
        <v>0</v>
      </c>
      <c r="L579" t="n">
        <v>0</v>
      </c>
      <c r="M579" t="n">
        <v>34</v>
      </c>
      <c r="N579">
        <f>SUM(J579:M579)</f>
        <v/>
      </c>
      <c r="O579" s="4">
        <f>SUM(J579:L579)/SUM(J579:M579)</f>
        <v/>
      </c>
      <c r="P579" s="5">
        <f>MAX(J579:L579)/SUM(J579:L579)</f>
        <v/>
      </c>
    </row>
    <row r="580">
      <c r="A580" t="inlineStr">
        <is>
          <t>Segundo año</t>
        </is>
      </c>
      <c r="B580" t="inlineStr">
        <is>
          <t>Segundo periodo</t>
        </is>
      </c>
      <c r="C580" t="n">
        <v>113</v>
      </c>
      <c r="D580" t="n">
        <v>578</v>
      </c>
      <c r="E580" s="3" t="n">
        <v>46142</v>
      </c>
      <c r="F580" t="inlineStr">
        <is>
          <t>Punto de Acuerdo</t>
        </is>
      </c>
      <c r="G580" t="inlineStr">
        <is>
          <t>Acuerdo por el que se exhorta a los doscientos doce ayuntamientos y cinco concejos municipales del estado, para que, durante la ejecución de operativos o retenes de revisión que impliquen el arrastre de motocicletas, el cobro del servicio de grúa se realice en proporción al número de unidades trasladadas en una misma plataforma, evitando cobros individuales indebidos cuando el traslado sea conjunto</t>
        </is>
      </c>
      <c r="H580" t="n">
        <v>11</v>
      </c>
      <c r="I580" t="inlineStr">
        <is>
          <t>Infraestructura, Movilidad y Transporte</t>
        </is>
      </c>
      <c r="J580" t="n">
        <v>7</v>
      </c>
      <c r="K580" t="n">
        <v>0</v>
      </c>
      <c r="L580" t="n">
        <v>0</v>
      </c>
      <c r="M580" t="n">
        <v>34</v>
      </c>
      <c r="N580">
        <f>SUM(J580:M580)</f>
        <v/>
      </c>
      <c r="O580" s="4">
        <f>SUM(J580:L580)/SUM(J580:M580)</f>
        <v/>
      </c>
      <c r="P580" s="5">
        <f>MAX(J580:L580)/SUM(J580:L580)</f>
        <v/>
      </c>
    </row>
    <row r="581">
      <c r="A581" t="inlineStr">
        <is>
          <t>Segundo año</t>
        </is>
      </c>
      <c r="B581" t="inlineStr">
        <is>
          <t>Segundo periodo</t>
        </is>
      </c>
      <c r="C581" t="n">
        <v>114</v>
      </c>
      <c r="D581" t="n">
        <v>579</v>
      </c>
      <c r="E581" s="3" t="n">
        <v>46142</v>
      </c>
      <c r="F581" t="inlineStr">
        <is>
          <t>Punto de Acuerdo</t>
        </is>
      </c>
      <c r="G581" t="inlineStr">
        <is>
          <t>Acuerdo por el que se exhorta a los doscientos doce ayuntamientos y cinco concejos municipales del estado, para que, en el ámbito de su competencia promuevan y, en su caso, faciliten la contratación de personas en situación de vulnerabilidad en los ámbitos público, privado y social</t>
        </is>
      </c>
      <c r="H581" t="n">
        <v>2</v>
      </c>
      <c r="I581" t="inlineStr">
        <is>
          <t>Pobreza y Política Social</t>
        </is>
      </c>
      <c r="J581" t="n">
        <v>7</v>
      </c>
      <c r="K581" t="n">
        <v>0</v>
      </c>
      <c r="L581" t="n">
        <v>0</v>
      </c>
      <c r="M581" t="n">
        <v>34</v>
      </c>
      <c r="N581">
        <f>SUM(J581:M581)</f>
        <v/>
      </c>
      <c r="O581" s="4">
        <f>SUM(J581:L581)/SUM(J581:M581)</f>
        <v/>
      </c>
      <c r="P581" s="5">
        <f>MAX(J581:L581)/SUM(J581:L581)</f>
        <v/>
      </c>
    </row>
    <row r="582">
      <c r="A582" t="inlineStr">
        <is>
          <t>Segundo año</t>
        </is>
      </c>
      <c r="B582" t="inlineStr">
        <is>
          <t>Segundo periodo</t>
        </is>
      </c>
      <c r="C582" t="n">
        <v>115</v>
      </c>
      <c r="D582" t="n">
        <v>580</v>
      </c>
      <c r="E582" s="3" t="n">
        <v>46142</v>
      </c>
      <c r="F582" t="inlineStr">
        <is>
          <t>Punto de Acuerdo</t>
        </is>
      </c>
      <c r="G582" t="inlineStr">
        <is>
          <t>Acuerdo por el que se exhorta a los doscientos doce ayuntamientos y cinco concejos municipales del estado, para que, en el ámbito de su competencia emitan y cumplan las órdenes de protección en términos de la legislación aplicable, así como para que se coordinen, de ser necesario, con las instancias federales y estatales correspondientes</t>
        </is>
      </c>
      <c r="H582" t="n">
        <v>20</v>
      </c>
      <c r="I582" t="inlineStr">
        <is>
          <t>Justicia y Estado de Derecho en temas de Mujeres</t>
        </is>
      </c>
      <c r="J582" t="n">
        <v>7</v>
      </c>
      <c r="K582" t="n">
        <v>0</v>
      </c>
      <c r="L582" t="n">
        <v>0</v>
      </c>
      <c r="M582" t="n">
        <v>34</v>
      </c>
      <c r="N582">
        <f>SUM(J582:M582)</f>
        <v/>
      </c>
      <c r="O582" s="4">
        <f>SUM(J582:L582)/SUM(J582:M582)</f>
        <v/>
      </c>
      <c r="P582" s="5">
        <f>MAX(J582:L582)/SUM(J582:L582)</f>
        <v/>
      </c>
    </row>
    <row r="583">
      <c r="A583" t="inlineStr">
        <is>
          <t>Segundo año</t>
        </is>
      </c>
      <c r="B583" t="inlineStr">
        <is>
          <t>Segundo periodo</t>
        </is>
      </c>
      <c r="C583" t="n">
        <v>116</v>
      </c>
      <c r="D583" t="n">
        <v>581</v>
      </c>
      <c r="E583" s="3" t="n">
        <v>46142</v>
      </c>
      <c r="F583" t="inlineStr">
        <is>
          <t>Punto de Acuerdo</t>
        </is>
      </c>
      <c r="G583" t="inlineStr">
        <is>
          <t>Acuerdo por el que se exhorta a los doscientos doce ayuntamientos y cinco concejos municipales del estado, para que, en apego a la ley nacional para eliminar trámites burocráticos, agilicen, digitalicen y simplifiquen los trámites administrativos a su cargo</t>
        </is>
      </c>
      <c r="H583" t="n">
        <v>1</v>
      </c>
      <c r="I583" t="inlineStr">
        <is>
          <t>Economía, Comercio y Competitividad</t>
        </is>
      </c>
      <c r="J583" t="n">
        <v>7</v>
      </c>
      <c r="K583" t="n">
        <v>0</v>
      </c>
      <c r="L583" t="n">
        <v>0</v>
      </c>
      <c r="M583" t="n">
        <v>34</v>
      </c>
      <c r="N583">
        <f>SUM(J583:M583)</f>
        <v/>
      </c>
      <c r="O583" s="4">
        <f>SUM(J583:L583)/SUM(J583:M583)</f>
        <v/>
      </c>
      <c r="P583" s="5">
        <f>MAX(J583:L583)/SUM(J583:L583)</f>
        <v/>
      </c>
    </row>
    <row r="584">
      <c r="A584" t="inlineStr">
        <is>
          <t>Segundo año</t>
        </is>
      </c>
      <c r="B584" t="inlineStr">
        <is>
          <t>Segundo periodo</t>
        </is>
      </c>
      <c r="C584" t="n">
        <v>117</v>
      </c>
      <c r="D584" t="n">
        <v>582</v>
      </c>
      <c r="E584" s="3" t="n">
        <v>46142</v>
      </c>
      <c r="F584" t="inlineStr">
        <is>
          <t>Punto de Acuerdo</t>
        </is>
      </c>
      <c r="G584" t="inlineStr">
        <is>
          <t>Acuerdo por el que se exhorta a la fiscalía general del estado, para que, en la investigación de los hechos con apariencia de delito cometidos en contra de las personas de la diversidad sexual y de género, implementen el protocolo homologado de investigación de delitos cometidos contra personas lgbttti+</t>
        </is>
      </c>
      <c r="H584" t="n">
        <v>14</v>
      </c>
      <c r="I584" t="inlineStr">
        <is>
          <t>Justicia y Estado de Derecho</t>
        </is>
      </c>
      <c r="J584" t="n">
        <v>9</v>
      </c>
      <c r="K584" t="n">
        <v>0</v>
      </c>
      <c r="L584" t="n">
        <v>0</v>
      </c>
      <c r="M584" t="n">
        <v>0</v>
      </c>
      <c r="N584">
        <f>SUM(J584:M584)</f>
        <v/>
      </c>
      <c r="O584" s="4">
        <f>SUM(J584:L584)/SUM(J584:M584)</f>
        <v/>
      </c>
      <c r="P584" s="5">
        <f>MAX(J584:L584)/SUM(J584:L584)</f>
        <v/>
      </c>
    </row>
    <row r="585">
      <c r="A585" t="inlineStr">
        <is>
          <t>Segundo año</t>
        </is>
      </c>
      <c r="B585" t="inlineStr">
        <is>
          <t>Segundo periodo</t>
        </is>
      </c>
      <c r="C585" t="n">
        <v>118</v>
      </c>
      <c r="D585" t="n">
        <v>583</v>
      </c>
      <c r="E585" s="3" t="n">
        <v>46142</v>
      </c>
      <c r="F585" t="inlineStr">
        <is>
          <t>Punto de Acuerdo</t>
        </is>
      </c>
      <c r="G585" t="inlineStr">
        <is>
          <t>Acuerdo por el que se exhorta al consejo de la judicatura del poder judicial del estado, para que, ejecute las acciones administrativas, de infraestructura y equipamiento tecnológico necesarias para fortalecer, garantizar y ampliar la adecuada implementación del sistema de oralidad en los procedimientos en materia civil y familiar en el estado</t>
        </is>
      </c>
      <c r="H585" t="n">
        <v>14</v>
      </c>
      <c r="I585" t="inlineStr">
        <is>
          <t>Justicia y Estado de Derecho</t>
        </is>
      </c>
      <c r="J585" t="n">
        <v>9</v>
      </c>
      <c r="K585" t="n">
        <v>0</v>
      </c>
      <c r="L585" t="n">
        <v>0</v>
      </c>
      <c r="M585" t="n">
        <v>0</v>
      </c>
      <c r="N585">
        <f>SUM(J585:M585)</f>
        <v/>
      </c>
      <c r="O585" s="4">
        <f>SUM(J585:L585)/SUM(J585:M585)</f>
        <v/>
      </c>
      <c r="P585" s="5">
        <f>MAX(J585:L585)/SUM(J585:L585)</f>
        <v/>
      </c>
    </row>
    <row r="586">
      <c r="A586" t="inlineStr">
        <is>
          <t>Segundo año</t>
        </is>
      </c>
      <c r="B586" t="inlineStr">
        <is>
          <t>Segundo periodo</t>
        </is>
      </c>
      <c r="C586" t="n">
        <v>119</v>
      </c>
      <c r="D586" t="n">
        <v>584</v>
      </c>
      <c r="E586" s="3" t="n">
        <v>46142</v>
      </c>
      <c r="F586" t="inlineStr">
        <is>
          <t>Punto de Acuerdo</t>
        </is>
      </c>
      <c r="G586" t="inlineStr">
        <is>
          <t>Acuerdo por el que se exhorta a la fiscalía general del estado y a la secretaría Anticorrupción y Buen Gobierno, para que, de manera coordinada con los doscientos doce ayuntamientos y cinco concejos municipales de la entidad, fortalezcan la difusión de los mecanismos de denuncia y presentación de quejas ante la supuesta comisión de delitos y de faltas administrativas</t>
        </is>
      </c>
      <c r="H586" t="n">
        <v>10</v>
      </c>
      <c r="I586" t="inlineStr">
        <is>
          <t>Transparencia y Rendición de Cuentas</t>
        </is>
      </c>
      <c r="J586" t="n">
        <v>9</v>
      </c>
      <c r="K586" t="n">
        <v>0</v>
      </c>
      <c r="L586" t="n">
        <v>0</v>
      </c>
      <c r="M586" t="n">
        <v>0</v>
      </c>
      <c r="N586">
        <f>SUM(J586:M586)</f>
        <v/>
      </c>
      <c r="O586" s="4">
        <f>SUM(J586:L586)/SUM(J586:M586)</f>
        <v/>
      </c>
      <c r="P586" s="5">
        <f>MAX(J586:L586)/SUM(J586:L586)</f>
        <v/>
      </c>
    </row>
    <row r="587">
      <c r="A587" t="inlineStr">
        <is>
          <t>Segundo año</t>
        </is>
      </c>
      <c r="B587" t="inlineStr">
        <is>
          <t>Segundo periodo</t>
        </is>
      </c>
      <c r="C587" t="n">
        <v>120</v>
      </c>
      <c r="D587" t="n">
        <v>585</v>
      </c>
      <c r="E587" s="3" t="n">
        <v>46142</v>
      </c>
      <c r="F587" t="inlineStr">
        <is>
          <t>Punto de Acuerdo</t>
        </is>
      </c>
      <c r="G587" t="inlineStr">
        <is>
          <t>Acuerdo por el que se exhorta al instituto poblano de los pueblos indígenas, para que, en coordinación con la secretaría de Ciencia, Humanidades, Tecnología e Innovación y la secretaría de Educación Pública, ambas del estado, así como con los doscientos doce ayuntamientos y cinco concejos municipales de la entidad, en el ámbito de su respectiva competencia diseñen e implementen acciones sociales y educativas para el rescate, conservación, investigación, enseñanza, difusión y revitalización de las lenguas indígenas</t>
        </is>
      </c>
      <c r="H587" t="n">
        <v>8</v>
      </c>
      <c r="I587" t="inlineStr">
        <is>
          <t>Educación y Cultura</t>
        </is>
      </c>
      <c r="J587" t="n">
        <v>9</v>
      </c>
      <c r="K587" t="n">
        <v>0</v>
      </c>
      <c r="L587" t="n">
        <v>0</v>
      </c>
      <c r="M587" t="n">
        <v>0</v>
      </c>
      <c r="N587">
        <f>SUM(J587:M587)</f>
        <v/>
      </c>
      <c r="O587" s="4">
        <f>SUM(J587:L587)/SUM(J587:M587)</f>
        <v/>
      </c>
      <c r="P587" s="5">
        <f>MAX(J587:L587)/SUM(J587:L587)</f>
        <v/>
      </c>
    </row>
    <row r="588">
      <c r="A588" t="inlineStr">
        <is>
          <t>Segundo año</t>
        </is>
      </c>
      <c r="B588" t="inlineStr">
        <is>
          <t>Segundo periodo</t>
        </is>
      </c>
      <c r="C588" t="n">
        <v>121</v>
      </c>
      <c r="D588" t="n">
        <v>586</v>
      </c>
      <c r="E588" s="3" t="n">
        <v>46142</v>
      </c>
      <c r="F588" t="inlineStr">
        <is>
          <t>Punto de Acuerdo</t>
        </is>
      </c>
      <c r="G588" t="inlineStr">
        <is>
          <t>Acuerdo por el que se exhorta al instituto poblano de los pueblos indígenas, para que fortalezca y formalice los mecanismos de coordinación institucional con los municipios denominados o con presencia indígena de la entidad, así como con las dependencias y entidades de la administración pública del estado, con el fin de incorporar y/o fortalecer el enfoque de los derechos de los pueblos y comunidades indígenas y afromexicanas en el diseño, planeación e implementación de acciones gubernamentales</t>
        </is>
      </c>
      <c r="H588" t="n">
        <v>2</v>
      </c>
      <c r="I588" t="inlineStr">
        <is>
          <t>Pobreza y Política Social</t>
        </is>
      </c>
      <c r="J588" t="n">
        <v>9</v>
      </c>
      <c r="K588" t="n">
        <v>0</v>
      </c>
      <c r="L588" t="n">
        <v>0</v>
      </c>
      <c r="M588" t="n">
        <v>0</v>
      </c>
      <c r="N588">
        <f>SUM(J588:M588)</f>
        <v/>
      </c>
      <c r="O588" s="4">
        <f>SUM(J588:L588)/SUM(J588:M588)</f>
        <v/>
      </c>
      <c r="P588" s="5">
        <f>MAX(J588:L588)/SUM(J588:L588)</f>
        <v/>
      </c>
    </row>
    <row r="589">
      <c r="A589" t="inlineStr">
        <is>
          <t>Segundo año</t>
        </is>
      </c>
      <c r="B589" t="inlineStr">
        <is>
          <t>Segundo periodo</t>
        </is>
      </c>
      <c r="C589" t="n">
        <v>122</v>
      </c>
      <c r="D589" t="n">
        <v>587</v>
      </c>
      <c r="E589" s="3" t="n">
        <v>46142</v>
      </c>
      <c r="F589" t="inlineStr">
        <is>
          <t>Punto de Acuerdo</t>
        </is>
      </c>
      <c r="G589" t="inlineStr">
        <is>
          <t>Acuerdo por el que se exhorta a la secretaría de Agricultura y Desarrollo Rural, para que, en coordinación con los doscientos doce ayuntamientos y cinco concejos municipales del estado, y en el ámbito de su competencia, difundan las reglas de operación y simplifiquen el acceso a los beneficios del programa para la prevención y atención de contingencias agropecuarias</t>
        </is>
      </c>
      <c r="H589" t="n">
        <v>12</v>
      </c>
      <c r="I589" t="inlineStr">
        <is>
          <t>Agricultura, Ganadería y Pesca</t>
        </is>
      </c>
      <c r="J589" t="n">
        <v>9</v>
      </c>
      <c r="K589" t="n">
        <v>0</v>
      </c>
      <c r="L589" t="n">
        <v>0</v>
      </c>
      <c r="M589" t="n">
        <v>0</v>
      </c>
      <c r="N589">
        <f>SUM(J589:M589)</f>
        <v/>
      </c>
      <c r="O589" s="4">
        <f>SUM(J589:L589)/SUM(J589:M589)</f>
        <v/>
      </c>
      <c r="P589" s="5">
        <f>MAX(J589:L589)/SUM(J589:L589)</f>
        <v/>
      </c>
    </row>
    <row r="590">
      <c r="A590" t="inlineStr">
        <is>
          <t>Segundo año</t>
        </is>
      </c>
      <c r="B590" t="inlineStr">
        <is>
          <t>Segundo periodo</t>
        </is>
      </c>
      <c r="C590" t="n">
        <v>123</v>
      </c>
      <c r="D590" t="n">
        <v>588</v>
      </c>
      <c r="E590" s="3" t="n">
        <v>46142</v>
      </c>
      <c r="F590" t="inlineStr">
        <is>
          <t>Punto de Acuerdo</t>
        </is>
      </c>
      <c r="G590" t="inlineStr">
        <is>
          <t>Acuerdo por el que se exhorta a la secretaría de Agricultura y Desarrollo Rural del estado, para que, consolide la estrategia para la preservación, producción y desarrollo sustentable del maguey pulquero</t>
        </is>
      </c>
      <c r="H590" t="n">
        <v>12</v>
      </c>
      <c r="I590" t="inlineStr">
        <is>
          <t>Agricultura, Ganadería y Pesca</t>
        </is>
      </c>
      <c r="J590" t="n">
        <v>9</v>
      </c>
      <c r="K590" t="n">
        <v>0</v>
      </c>
      <c r="L590" t="n">
        <v>0</v>
      </c>
      <c r="M590" t="n">
        <v>0</v>
      </c>
      <c r="N590">
        <f>SUM(J590:M590)</f>
        <v/>
      </c>
      <c r="O590" s="4">
        <f>SUM(J590:L590)/SUM(J590:M590)</f>
        <v/>
      </c>
      <c r="P590" s="5">
        <f>MAX(J590:L590)/SUM(J590:L590)</f>
        <v/>
      </c>
    </row>
    <row r="591">
      <c r="A591" t="inlineStr">
        <is>
          <t>Segundo año</t>
        </is>
      </c>
      <c r="B591" t="inlineStr">
        <is>
          <t>Segundo periodo</t>
        </is>
      </c>
      <c r="C591" t="n">
        <v>124</v>
      </c>
      <c r="D591" t="n">
        <v>589</v>
      </c>
      <c r="E591" s="3" t="n">
        <v>46149</v>
      </c>
      <c r="F591" t="inlineStr">
        <is>
          <t>Punto de Acuerdo</t>
        </is>
      </c>
      <c r="G591" t="inlineStr">
        <is>
          <t>Acuerdo por el cual exhorta a los doscientos doce ayuntamientos y cinco concejos municipales del estado, para que, en el ámbito de su competencia, diseñen y ejecuten una estrategia para el retiro de los obstáculos irregulares que limiten la movilidad peatonal</t>
        </is>
      </c>
      <c r="H591" t="n">
        <v>11</v>
      </c>
      <c r="I591" t="inlineStr">
        <is>
          <t>Infraestructura, Movilidad y Transporte</t>
        </is>
      </c>
      <c r="J591" t="n">
        <v>5</v>
      </c>
      <c r="K591" t="n">
        <v>0</v>
      </c>
      <c r="L591" t="n">
        <v>0</v>
      </c>
      <c r="M591" t="n">
        <v>36</v>
      </c>
      <c r="N591">
        <f>SUM(J591:M591)</f>
        <v/>
      </c>
      <c r="O591" s="4">
        <f>SUM(J591:L591)/SUM(J591:M591)</f>
        <v/>
      </c>
      <c r="P591" s="5">
        <f>MAX(J591:L591)/SUM(J591:L591)</f>
        <v/>
      </c>
    </row>
    <row r="592">
      <c r="A592" t="inlineStr">
        <is>
          <t>Segundo año</t>
        </is>
      </c>
      <c r="B592" t="inlineStr">
        <is>
          <t>Segundo periodo</t>
        </is>
      </c>
      <c r="C592" t="n">
        <v>125</v>
      </c>
      <c r="D592" t="n">
        <v>590</v>
      </c>
      <c r="E592" s="3" t="n">
        <v>46149</v>
      </c>
      <c r="F592" t="inlineStr">
        <is>
          <t>Punto de Acuerdo</t>
        </is>
      </c>
      <c r="G592" t="inlineStr">
        <is>
          <t>Acuerdo por el cual exhorta a la Secretaría de Infraestructura del estado y a la Secretaría de Infraestructura, Comunicaciones y Transportes centro, para que realicen la evaluación técnica integral de la infraestructura carretera afectada por fenómenos hidrometeorológicos</t>
        </is>
      </c>
      <c r="H592" t="n">
        <v>11</v>
      </c>
      <c r="I592" t="inlineStr">
        <is>
          <t>Infraestructura, Movilidad y Transporte</t>
        </is>
      </c>
      <c r="J592" t="n">
        <v>5</v>
      </c>
      <c r="K592" t="n">
        <v>0</v>
      </c>
      <c r="L592" t="n">
        <v>0</v>
      </c>
      <c r="M592" t="n">
        <v>36</v>
      </c>
      <c r="N592">
        <f>SUM(J592:M592)</f>
        <v/>
      </c>
      <c r="O592" s="4">
        <f>SUM(J592:L592)/SUM(J592:M592)</f>
        <v/>
      </c>
      <c r="P592" s="5">
        <f>MAX(J592:L592)/SUM(J592:L592)</f>
        <v/>
      </c>
    </row>
    <row r="593">
      <c r="A593" t="inlineStr">
        <is>
          <t>Segundo año</t>
        </is>
      </c>
      <c r="B593" t="inlineStr">
        <is>
          <t>Segundo periodo</t>
        </is>
      </c>
      <c r="C593" t="n">
        <v>126</v>
      </c>
      <c r="D593" t="n">
        <v>591</v>
      </c>
      <c r="E593" s="3" t="n">
        <v>46149</v>
      </c>
      <c r="F593" t="inlineStr">
        <is>
          <t>Punto de Acuerdo</t>
        </is>
      </c>
      <c r="G593" t="inlineStr">
        <is>
          <t>Acuerdo por el cual exhorta a la Secretaría de Infraestructura del estado y al organismo público descentralizado denominado “Carreteras de Cuota” para realizar el diagnóstico de las carreteras y autopistas estatales</t>
        </is>
      </c>
      <c r="H593" t="n">
        <v>11</v>
      </c>
      <c r="I593" t="inlineStr">
        <is>
          <t>Infraestructura, Movilidad y Transporte</t>
        </is>
      </c>
      <c r="J593" t="n">
        <v>7</v>
      </c>
      <c r="K593" t="n">
        <v>0</v>
      </c>
      <c r="L593" t="n">
        <v>0</v>
      </c>
      <c r="M593" t="n">
        <v>34</v>
      </c>
      <c r="N593">
        <f>SUM(J593:M593)</f>
        <v/>
      </c>
      <c r="O593" s="4">
        <f>SUM(J593:L593)/SUM(J593:M593)</f>
        <v/>
      </c>
      <c r="P593" s="5">
        <f>MAX(J593:L593)/SUM(J593:L593)</f>
        <v/>
      </c>
    </row>
    <row r="594">
      <c r="A594" t="inlineStr">
        <is>
          <t>Segundo año</t>
        </is>
      </c>
      <c r="B594" t="inlineStr">
        <is>
          <t>Tercer periodo</t>
        </is>
      </c>
      <c r="C594" t="n">
        <v>1</v>
      </c>
      <c r="D594" t="n">
        <v>592</v>
      </c>
      <c r="E594" s="3" t="n">
        <v>46157</v>
      </c>
      <c r="F594" t="inlineStr">
        <is>
          <t>Iniciativa</t>
        </is>
      </c>
      <c r="G594" t="inlineStr">
        <is>
          <t>Dictamen con minuta de decreto por el cual se reforman y adicionan diversas disposiciones de la Ley para el Acceso de las Mujeres a una Vida Libre de Violencia del estado; y de la Ley de los Derechos de las Niñas, Niños y Adolescentes del estado</t>
        </is>
      </c>
      <c r="H594" t="n">
        <v>20</v>
      </c>
      <c r="I594" t="inlineStr">
        <is>
          <t>Justicia y Estado de Derecho en temas de Mujeres</t>
        </is>
      </c>
      <c r="J594" t="n">
        <v>37</v>
      </c>
      <c r="K594" t="n">
        <v>0</v>
      </c>
      <c r="L594" t="n">
        <v>0</v>
      </c>
      <c r="M594" t="n">
        <v>4</v>
      </c>
      <c r="N594">
        <f>SUM(J594:M594)</f>
        <v/>
      </c>
      <c r="O594" s="4">
        <f>SUM(J594:L594)/SUM(J594:M594)</f>
        <v/>
      </c>
      <c r="P594" s="5">
        <f>MAX(J594:L594)/SUM(J594:L594)</f>
        <v/>
      </c>
    </row>
    <row r="595">
      <c r="A595" t="inlineStr">
        <is>
          <t>Segundo año</t>
        </is>
      </c>
      <c r="B595" t="inlineStr">
        <is>
          <t>Tercer periodo</t>
        </is>
      </c>
      <c r="C595" t="n">
        <v>2</v>
      </c>
      <c r="D595" t="n">
        <v>593</v>
      </c>
      <c r="E595" s="3" t="n">
        <v>46157</v>
      </c>
      <c r="F595" t="inlineStr">
        <is>
          <t>Iniciativa</t>
        </is>
      </c>
      <c r="G595" t="inlineStr">
        <is>
          <t>Dictamen con minuta de decreto por el cual se reforma el primer párrafo del artículo 2, la fracción XIII del artículo 4 y el primer párrafo del artículo 7 ter de la Ley para la Igualdad entre Mujeres y Hombres del estado</t>
        </is>
      </c>
      <c r="H595" t="n">
        <v>20</v>
      </c>
      <c r="I595" t="inlineStr">
        <is>
          <t>Justicia y Estado de Derecho en temas de Mujeres</t>
        </is>
      </c>
      <c r="J595" t="n">
        <v>34</v>
      </c>
      <c r="K595" t="n">
        <v>0</v>
      </c>
      <c r="L595" t="n">
        <v>5</v>
      </c>
      <c r="M595" t="n">
        <v>2</v>
      </c>
      <c r="N595">
        <f>SUM(J595:M595)</f>
        <v/>
      </c>
      <c r="O595" s="4">
        <f>SUM(J595:L595)/SUM(J595:M595)</f>
        <v/>
      </c>
      <c r="P595" s="5">
        <f>MAX(J595:L595)/SUM(J595:L595)</f>
        <v/>
      </c>
    </row>
    <row r="596">
      <c r="A596" t="inlineStr">
        <is>
          <t>Segundo año</t>
        </is>
      </c>
      <c r="B596" t="inlineStr">
        <is>
          <t>Tercer periodo</t>
        </is>
      </c>
      <c r="C596" t="n">
        <v>3</v>
      </c>
      <c r="D596" t="n">
        <v>594</v>
      </c>
      <c r="E596" s="3" t="n">
        <v>46157</v>
      </c>
      <c r="F596" t="inlineStr">
        <is>
          <t>Iniciativa</t>
        </is>
      </c>
      <c r="G596" t="inlineStr">
        <is>
          <t>Dictamen con minuta de decreto por el cual se reforman las fracciones XXXIX y XL del artículo 6 bis y se adiciona la fracción XLI al artículo 6 bis de la Ley para Prevenir y Eliminar la Discriminación del estado</t>
        </is>
      </c>
      <c r="H596" t="n">
        <v>14</v>
      </c>
      <c r="I596" t="inlineStr">
        <is>
          <t>Justicia y Estado de Derecho</t>
        </is>
      </c>
      <c r="J596" t="n">
        <v>34</v>
      </c>
      <c r="K596" t="n">
        <v>0</v>
      </c>
      <c r="L596" t="n">
        <v>5</v>
      </c>
      <c r="M596" t="n">
        <v>2</v>
      </c>
      <c r="N596">
        <f>SUM(J596:M596)</f>
        <v/>
      </c>
      <c r="O596" s="4">
        <f>SUM(J596:L596)/SUM(J596:M596)</f>
        <v/>
      </c>
      <c r="P596" s="5">
        <f>MAX(J596:L596)/SUM(J596:L596)</f>
        <v/>
      </c>
    </row>
    <row r="597">
      <c r="A597" t="inlineStr">
        <is>
          <t>Segundo año</t>
        </is>
      </c>
      <c r="B597" t="inlineStr">
        <is>
          <t>Tercer periodo</t>
        </is>
      </c>
      <c r="C597" t="n">
        <v>4</v>
      </c>
      <c r="D597" t="n">
        <v>595</v>
      </c>
      <c r="E597" s="3" t="n">
        <v>46157</v>
      </c>
      <c r="F597" t="inlineStr">
        <is>
          <t>Iniciativa</t>
        </is>
      </c>
      <c r="G597" t="inlineStr">
        <is>
          <t>Dictamen con minuta de decreto por el cual se adiciona la fracción III bis al artículo 4 de la Ley para Prevenir y Eliminar la Discriminación del estado</t>
        </is>
      </c>
      <c r="H597" t="n">
        <v>14</v>
      </c>
      <c r="I597" t="inlineStr">
        <is>
          <t>Justicia y Estado de Derecho</t>
        </is>
      </c>
      <c r="J597" t="n">
        <v>40</v>
      </c>
      <c r="K597" t="n">
        <v>0</v>
      </c>
      <c r="L597" t="n">
        <v>0</v>
      </c>
      <c r="M597" t="n">
        <v>1</v>
      </c>
      <c r="N597">
        <f>SUM(J597:M597)</f>
        <v/>
      </c>
      <c r="O597" s="4">
        <f>SUM(J597:L597)/SUM(J597:M597)</f>
        <v/>
      </c>
      <c r="P597" s="5">
        <f>MAX(J597:L597)/SUM(J597:L597)</f>
        <v/>
      </c>
    </row>
    <row r="598">
      <c r="A598" t="inlineStr">
        <is>
          <t>Segundo año</t>
        </is>
      </c>
      <c r="B598" t="inlineStr">
        <is>
          <t>Tercer periodo</t>
        </is>
      </c>
      <c r="C598" t="n">
        <v>5</v>
      </c>
      <c r="D598" t="n">
        <v>596</v>
      </c>
      <c r="E598" s="3" t="n">
        <v>46157</v>
      </c>
      <c r="F598" t="inlineStr">
        <is>
          <t>Iniciativa</t>
        </is>
      </c>
      <c r="G598" t="inlineStr">
        <is>
          <t>Dictamen con minuta de decreto por el cual se reforma el artículo 44 de la Ley Orgánica Municipal</t>
        </is>
      </c>
      <c r="H598" t="n">
        <v>18</v>
      </c>
      <c r="I598" t="inlineStr">
        <is>
          <t>Administración Pública</t>
        </is>
      </c>
      <c r="J598" t="n">
        <v>40</v>
      </c>
      <c r="K598" t="n">
        <v>0</v>
      </c>
      <c r="L598" t="n">
        <v>0</v>
      </c>
      <c r="M598" t="n">
        <v>1</v>
      </c>
      <c r="N598">
        <f>SUM(J598:M598)</f>
        <v/>
      </c>
      <c r="O598" s="4">
        <f>SUM(J598:L598)/SUM(J598:M598)</f>
        <v/>
      </c>
      <c r="P598" s="5">
        <f>MAX(J598:L598)/SUM(J598:L598)</f>
        <v/>
      </c>
    </row>
    <row r="599">
      <c r="A599" t="inlineStr">
        <is>
          <t>Segundo año</t>
        </is>
      </c>
      <c r="B599" t="inlineStr">
        <is>
          <t>Tercer periodo</t>
        </is>
      </c>
      <c r="C599" t="n">
        <v>6</v>
      </c>
      <c r="D599" t="n">
        <v>597</v>
      </c>
      <c r="E599" s="3" t="n">
        <v>46157</v>
      </c>
      <c r="F599" t="inlineStr">
        <is>
          <t>Iniciativa</t>
        </is>
      </c>
      <c r="G599" t="inlineStr">
        <is>
          <t>Dictamen con minuta de decreto por el cual se adiciona el artículo 102 bis a la Ley Estatal de Salud</t>
        </is>
      </c>
      <c r="H599" t="n">
        <v>6</v>
      </c>
      <c r="I599" t="inlineStr">
        <is>
          <t>Salud</t>
        </is>
      </c>
      <c r="J599" t="n">
        <v>40</v>
      </c>
      <c r="K599" t="n">
        <v>0</v>
      </c>
      <c r="L599" t="n">
        <v>0</v>
      </c>
      <c r="M599" t="n">
        <v>1</v>
      </c>
      <c r="N599">
        <f>SUM(J599:M599)</f>
        <v/>
      </c>
      <c r="O599" s="4">
        <f>SUM(J599:L599)/SUM(J599:M599)</f>
        <v/>
      </c>
      <c r="P599" s="5">
        <f>MAX(J599:L599)/SUM(J599:L599)</f>
        <v/>
      </c>
    </row>
    <row r="600">
      <c r="A600" t="inlineStr">
        <is>
          <t>Segundo año</t>
        </is>
      </c>
      <c r="B600" t="inlineStr">
        <is>
          <t>Tercer periodo</t>
        </is>
      </c>
      <c r="C600" t="n">
        <v>7</v>
      </c>
      <c r="D600" t="n">
        <v>598</v>
      </c>
      <c r="E600" s="3" t="n">
        <v>46157</v>
      </c>
      <c r="F600" t="inlineStr">
        <is>
          <t>Iniciativa</t>
        </is>
      </c>
      <c r="G600" t="inlineStr">
        <is>
          <t>Dictamen con minuta de decreto por el cual se reforman y adicionan diversas disposiciones de la Ley Estatal de Salud; y de la Ley de Salud Mental y Adicciones para el estado</t>
        </is>
      </c>
      <c r="H600" t="n">
        <v>6</v>
      </c>
      <c r="I600" t="inlineStr">
        <is>
          <t>Salud</t>
        </is>
      </c>
      <c r="J600" t="n">
        <v>40</v>
      </c>
      <c r="K600" t="n">
        <v>0</v>
      </c>
      <c r="L600" t="n">
        <v>0</v>
      </c>
      <c r="M600" t="n">
        <v>1</v>
      </c>
      <c r="N600">
        <f>SUM(J600:M600)</f>
        <v/>
      </c>
      <c r="O600" s="4">
        <f>SUM(J600:L600)/SUM(J600:M600)</f>
        <v/>
      </c>
      <c r="P600" s="5">
        <f>MAX(J600:L600)/SUM(J600:L600)</f>
        <v/>
      </c>
    </row>
    <row r="601">
      <c r="A601" t="inlineStr">
        <is>
          <t>Segundo año</t>
        </is>
      </c>
      <c r="B601" t="inlineStr">
        <is>
          <t>Tercer periodo</t>
        </is>
      </c>
      <c r="C601" t="n">
        <v>8</v>
      </c>
      <c r="D601" t="n">
        <v>599</v>
      </c>
      <c r="E601" s="3" t="n">
        <v>46157</v>
      </c>
      <c r="F601" t="inlineStr">
        <is>
          <t>Iniciativa</t>
        </is>
      </c>
      <c r="G601" t="inlineStr">
        <is>
          <t>Dictamen con minuta de decreto por el cual se reforma la fracción XVII del artículo 13 de la Ley de Salud Mental y Adicciones para el estado</t>
        </is>
      </c>
      <c r="H601" t="n">
        <v>6</v>
      </c>
      <c r="I601" t="inlineStr">
        <is>
          <t>Salud</t>
        </is>
      </c>
      <c r="J601" t="n">
        <v>40</v>
      </c>
      <c r="K601" t="n">
        <v>0</v>
      </c>
      <c r="L601" t="n">
        <v>0</v>
      </c>
      <c r="M601" t="n">
        <v>1</v>
      </c>
      <c r="N601">
        <f>SUM(J601:M601)</f>
        <v/>
      </c>
      <c r="O601" s="4">
        <f>SUM(J601:L601)/SUM(J601:M601)</f>
        <v/>
      </c>
      <c r="P601" s="5">
        <f>MAX(J601:L601)/SUM(J601:L601)</f>
        <v/>
      </c>
    </row>
    <row r="602">
      <c r="A602" t="inlineStr">
        <is>
          <t>Segundo año</t>
        </is>
      </c>
      <c r="B602" t="inlineStr">
        <is>
          <t>Tercer periodo</t>
        </is>
      </c>
      <c r="C602" t="n">
        <v>9</v>
      </c>
      <c r="D602" t="n">
        <v>600</v>
      </c>
      <c r="E602" s="3" t="n">
        <v>46157</v>
      </c>
      <c r="F602" t="inlineStr">
        <is>
          <t>Iniciativa</t>
        </is>
      </c>
      <c r="G602" t="inlineStr">
        <is>
          <t>Dictamen con minuta de decreto por el cual se reforman y adicionan diversas disposiciones de la Ley de Protección a las Personas Adultas Mayores para el estado</t>
        </is>
      </c>
      <c r="H602" t="n">
        <v>2</v>
      </c>
      <c r="I602" t="inlineStr">
        <is>
          <t>Pobreza y Política Social</t>
        </is>
      </c>
      <c r="J602" t="n">
        <v>40</v>
      </c>
      <c r="K602" t="n">
        <v>0</v>
      </c>
      <c r="L602" t="n">
        <v>0</v>
      </c>
      <c r="M602" t="n">
        <v>1</v>
      </c>
      <c r="N602">
        <f>SUM(J602:M602)</f>
        <v/>
      </c>
      <c r="O602" s="4">
        <f>SUM(J602:L602)/SUM(J602:M602)</f>
        <v/>
      </c>
      <c r="P602" s="5">
        <f>MAX(J602:L602)/SUM(J602:L602)</f>
        <v/>
      </c>
    </row>
    <row r="603">
      <c r="A603" t="inlineStr">
        <is>
          <t>Segundo año</t>
        </is>
      </c>
      <c r="B603" t="inlineStr">
        <is>
          <t>Tercer periodo</t>
        </is>
      </c>
      <c r="C603" t="n">
        <v>10</v>
      </c>
      <c r="D603" t="n">
        <v>601</v>
      </c>
      <c r="E603" s="3" t="n">
        <v>46157</v>
      </c>
      <c r="F603" t="inlineStr">
        <is>
          <t>Iniciativa</t>
        </is>
      </c>
      <c r="G603" t="inlineStr">
        <is>
          <t>Dictamen con minuta de decreto por el cual se reforman y adicionan diversas disposiciones de la Ley para Prevenir y Eliminar la Discriminación del estado</t>
        </is>
      </c>
      <c r="H603" t="n">
        <v>14</v>
      </c>
      <c r="I603" t="inlineStr">
        <is>
          <t>Justicia y Estado de Derecho</t>
        </is>
      </c>
      <c r="J603" t="n">
        <v>40</v>
      </c>
      <c r="K603" t="n">
        <v>0</v>
      </c>
      <c r="L603" t="n">
        <v>0</v>
      </c>
      <c r="M603" t="n">
        <v>1</v>
      </c>
      <c r="N603">
        <f>SUM(J603:M603)</f>
        <v/>
      </c>
      <c r="O603" s="4">
        <f>SUM(J603:L603)/SUM(J603:M603)</f>
        <v/>
      </c>
      <c r="P603" s="5">
        <f>MAX(J603:L603)/SUM(J603:L603)</f>
        <v/>
      </c>
    </row>
    <row r="604">
      <c r="A604" t="inlineStr">
        <is>
          <t>Segundo año</t>
        </is>
      </c>
      <c r="B604" t="inlineStr">
        <is>
          <t>Tercer periodo</t>
        </is>
      </c>
      <c r="C604" t="n">
        <v>11</v>
      </c>
      <c r="D604" t="n">
        <v>602</v>
      </c>
      <c r="E604" s="3" t="n">
        <v>46157</v>
      </c>
      <c r="F604" t="inlineStr">
        <is>
          <t>Iniciativa</t>
        </is>
      </c>
      <c r="G604" t="inlineStr">
        <is>
          <t>Dictamen con minuta de decreto por el cual se reforman y adicionan diversas disposiciones de la Ley Estatal del Deporte</t>
        </is>
      </c>
      <c r="H604" t="n">
        <v>8</v>
      </c>
      <c r="I604" t="inlineStr">
        <is>
          <t>Educación y Cultura</t>
        </is>
      </c>
      <c r="J604" t="n">
        <v>35</v>
      </c>
      <c r="K604" t="n">
        <v>0</v>
      </c>
      <c r="L604" t="n">
        <v>5</v>
      </c>
      <c r="M604" t="n">
        <v>1</v>
      </c>
      <c r="N604">
        <f>SUM(J604:M604)</f>
        <v/>
      </c>
      <c r="O604" s="4">
        <f>SUM(J604:L604)/SUM(J604:M604)</f>
        <v/>
      </c>
      <c r="P604" s="5">
        <f>MAX(J604:L604)/SUM(J604:L604)</f>
        <v/>
      </c>
    </row>
    <row r="605">
      <c r="A605" t="inlineStr">
        <is>
          <t>Segundo año</t>
        </is>
      </c>
      <c r="B605" t="inlineStr">
        <is>
          <t>Tercer periodo</t>
        </is>
      </c>
      <c r="C605" t="n">
        <v>12</v>
      </c>
      <c r="D605" t="n">
        <v>603</v>
      </c>
      <c r="E605" s="3" t="n">
        <v>46157</v>
      </c>
      <c r="F605" t="inlineStr">
        <is>
          <t>Iniciativa</t>
        </is>
      </c>
      <c r="G605" t="inlineStr">
        <is>
          <t>Dictamen con minuta de decreto por el cual se adiciona el artículo 60 bis a la Ley de los Trabajadores al Servicio del Estado</t>
        </is>
      </c>
      <c r="H605" t="n">
        <v>16</v>
      </c>
      <c r="I605" t="inlineStr">
        <is>
          <t>Trabajo y Previsión Social</t>
        </is>
      </c>
      <c r="J605" t="n">
        <v>40</v>
      </c>
      <c r="K605" t="n">
        <v>0</v>
      </c>
      <c r="L605" t="n">
        <v>0</v>
      </c>
      <c r="M605" t="n">
        <v>1</v>
      </c>
      <c r="N605">
        <f>SUM(J605:M605)</f>
        <v/>
      </c>
      <c r="O605" s="4">
        <f>SUM(J605:L605)/SUM(J605:M605)</f>
        <v/>
      </c>
      <c r="P605" s="5">
        <f>MAX(J605:L605)/SUM(J605:L605)</f>
        <v/>
      </c>
    </row>
    <row r="606">
      <c r="A606" t="inlineStr">
        <is>
          <t>Segundo año</t>
        </is>
      </c>
      <c r="B606" t="inlineStr">
        <is>
          <t>Tercer periodo</t>
        </is>
      </c>
      <c r="C606" t="n">
        <v>13</v>
      </c>
      <c r="D606" t="n">
        <v>604</v>
      </c>
      <c r="E606" s="3" t="n">
        <v>46157</v>
      </c>
      <c r="F606" t="inlineStr">
        <is>
          <t>Punto de Acuerdo</t>
        </is>
      </c>
      <c r="G606" t="inlineStr">
        <is>
          <t>Acuerdo por el que se exhorta a la Secretaría de Desarrollo Económico y Trabajo a fortalecer las acciones en apoyo al emprendimiento de los jóvenes</t>
        </is>
      </c>
      <c r="H606" t="n">
        <v>1</v>
      </c>
      <c r="I606" t="inlineStr">
        <is>
          <t>Economía, Comercio y Competitividad</t>
        </is>
      </c>
      <c r="J606" t="n">
        <v>40</v>
      </c>
      <c r="K606" t="n">
        <v>0</v>
      </c>
      <c r="L606" t="n">
        <v>0</v>
      </c>
      <c r="M606" t="n">
        <v>1</v>
      </c>
      <c r="N606">
        <f>SUM(J606:M606)</f>
        <v/>
      </c>
      <c r="O606" s="4">
        <f>SUM(J606:L606)/SUM(J606:M606)</f>
        <v/>
      </c>
      <c r="P606" s="5">
        <f>MAX(J606:L606)/SUM(J606:L606)</f>
        <v/>
      </c>
    </row>
    <row r="607">
      <c r="A607" t="inlineStr">
        <is>
          <t>Segundo año</t>
        </is>
      </c>
      <c r="B607" t="inlineStr">
        <is>
          <t>Tercer periodo</t>
        </is>
      </c>
      <c r="C607" t="n">
        <v>14</v>
      </c>
      <c r="D607" t="n">
        <v>605</v>
      </c>
      <c r="E607" s="3" t="n">
        <v>46157</v>
      </c>
      <c r="F607" t="inlineStr">
        <is>
          <t>Punto de Acuerdo</t>
        </is>
      </c>
      <c r="G607" t="inlineStr">
        <is>
          <t>Acuerdo por el que se exhorta a los ayuntamientos y concejos municipales a implementar capacitaciones para el personal servidor público en materia de fiscalización, rendición de cuentas y responsabilidades administrativas</t>
        </is>
      </c>
      <c r="H607" t="n">
        <v>10</v>
      </c>
      <c r="I607" t="inlineStr">
        <is>
          <t>Transparencia y Rendición de Cuentas</t>
        </is>
      </c>
      <c r="J607" t="n">
        <v>40</v>
      </c>
      <c r="K607" t="n">
        <v>0</v>
      </c>
      <c r="L607" t="n">
        <v>0</v>
      </c>
      <c r="M607" t="n">
        <v>1</v>
      </c>
      <c r="N607">
        <f>SUM(J607:M607)</f>
        <v/>
      </c>
      <c r="O607" s="4">
        <f>SUM(J607:L607)/SUM(J607:M607)</f>
        <v/>
      </c>
      <c r="P607" s="5">
        <f>MAX(J607:L607)/SUM(J607:L607)</f>
        <v/>
      </c>
    </row>
    <row r="608">
      <c r="A608" t="inlineStr">
        <is>
          <t>Segundo año</t>
        </is>
      </c>
      <c r="B608" t="inlineStr">
        <is>
          <t>Tercer periodo</t>
        </is>
      </c>
      <c r="C608" t="n">
        <v>15</v>
      </c>
      <c r="D608" t="n">
        <v>606</v>
      </c>
      <c r="E608" s="3" t="n">
        <v>46157</v>
      </c>
      <c r="F608" t="inlineStr">
        <is>
          <t>Punto de Acuerdo</t>
        </is>
      </c>
      <c r="G608" t="inlineStr">
        <is>
          <t>Acuerdo por el cual se exhorta a la Secretaría de Salud y a los ayuntamientos a implementar estrategias para fortalecer la prevención y atención de la salud en distintos puntos de la entidad</t>
        </is>
      </c>
      <c r="H608" t="n">
        <v>6</v>
      </c>
      <c r="I608" t="inlineStr">
        <is>
          <t>Salud</t>
        </is>
      </c>
      <c r="J608" t="n">
        <v>40</v>
      </c>
      <c r="K608" t="n">
        <v>0</v>
      </c>
      <c r="L608" t="n">
        <v>0</v>
      </c>
      <c r="M608" t="n">
        <v>1</v>
      </c>
      <c r="N608">
        <f>SUM(J608:M608)</f>
        <v/>
      </c>
      <c r="O608" s="4">
        <f>SUM(J608:L608)/SUM(J608:M608)</f>
        <v/>
      </c>
      <c r="P608" s="5">
        <f>MAX(J608:L608)/SUM(J608:L608)</f>
        <v/>
      </c>
    </row>
    <row r="609">
      <c r="A609" t="inlineStr">
        <is>
          <t>Segundo año</t>
        </is>
      </c>
      <c r="B609" t="inlineStr">
        <is>
          <t>Tercer periodo</t>
        </is>
      </c>
      <c r="C609" t="n">
        <v>16</v>
      </c>
      <c r="D609" t="n">
        <v>607</v>
      </c>
      <c r="E609" s="3" t="n">
        <v>46163</v>
      </c>
      <c r="F609" t="inlineStr">
        <is>
          <t>Iniciativa</t>
        </is>
      </c>
      <c r="G609" t="inlineStr">
        <is>
          <t>Dictamen con minuta de decreto por el cual se autoriza al honorable ayuntamiento del municipio de , otorgar la concesión para usar, explotar y aprovechar las zonas de espera peatonal para uso publicitario, por un plazo de diez años</t>
        </is>
      </c>
      <c r="H609" t="n">
        <v>7</v>
      </c>
      <c r="I609" t="inlineStr">
        <is>
          <t>Impuestos, Finanzas Públicas, Patrimonio estatal y municipal</t>
        </is>
      </c>
      <c r="J609" t="n">
        <v>32</v>
      </c>
      <c r="K609" t="n">
        <v>2</v>
      </c>
      <c r="L609" t="n">
        <v>5</v>
      </c>
      <c r="M609" t="n">
        <v>0</v>
      </c>
      <c r="N609">
        <f>SUM(J609:M609)</f>
        <v/>
      </c>
      <c r="O609" s="4">
        <f>SUM(J609:L609)/SUM(J609:M609)</f>
        <v/>
      </c>
      <c r="P609" s="5">
        <f>MAX(J609:L609)/SUM(J609:L609)</f>
        <v/>
      </c>
    </row>
    <row r="610">
      <c r="A610" t="inlineStr">
        <is>
          <t>Segundo año</t>
        </is>
      </c>
      <c r="B610" t="inlineStr">
        <is>
          <t>Tercer periodo</t>
        </is>
      </c>
      <c r="C610" t="n">
        <v>17</v>
      </c>
      <c r="D610" t="n">
        <v>608</v>
      </c>
      <c r="E610" s="3" t="n">
        <v>46163</v>
      </c>
      <c r="F610" t="inlineStr">
        <is>
          <t>Iniciativa</t>
        </is>
      </c>
      <c r="G610" t="inlineStr">
        <is>
          <t xml:space="preserve">Dictamen con minuta de decreto por el cual se reforma el artículo 70 bis de la ley de turismo del estado de </t>
        </is>
      </c>
      <c r="H610" t="n">
        <v>1</v>
      </c>
      <c r="I610" t="inlineStr">
        <is>
          <t>Economía, Comercio y Competitividad</t>
        </is>
      </c>
      <c r="J610" t="n">
        <v>40</v>
      </c>
      <c r="K610" t="n">
        <v>0</v>
      </c>
      <c r="L610" t="n">
        <v>0</v>
      </c>
      <c r="M610" t="n">
        <v>0</v>
      </c>
      <c r="N610">
        <f>SUM(J610:M610)</f>
        <v/>
      </c>
      <c r="O610" s="4">
        <f>SUM(J610:L610)/SUM(J610:M610)</f>
        <v/>
      </c>
      <c r="P610" s="5">
        <f>MAX(J610:L610)/SUM(J610:L610)</f>
        <v/>
      </c>
    </row>
    <row r="611">
      <c r="A611" t="inlineStr">
        <is>
          <t>Segundo año</t>
        </is>
      </c>
      <c r="B611" t="inlineStr">
        <is>
          <t>Tercer periodo</t>
        </is>
      </c>
      <c r="C611" t="n">
        <v>18</v>
      </c>
      <c r="D611" t="n">
        <v>609</v>
      </c>
      <c r="E611" s="3" t="n">
        <v>46163</v>
      </c>
      <c r="F611" t="inlineStr">
        <is>
          <t>Iniciativa</t>
        </is>
      </c>
      <c r="G611" t="inlineStr">
        <is>
          <t xml:space="preserve">Dictamen con minuta de decreto por el cual se reforman y adicionan diversas disposiciones de la ley de educación; de la ley de seguridad integral escolar y de la ley de salud mental y adicciones para el estado de </t>
        </is>
      </c>
      <c r="H611" t="n">
        <v>8</v>
      </c>
      <c r="I611" t="inlineStr">
        <is>
          <t>Educación y Cultura</t>
        </is>
      </c>
      <c r="J611" t="n">
        <v>40</v>
      </c>
      <c r="K611" t="n">
        <v>0</v>
      </c>
      <c r="L611" t="n">
        <v>0</v>
      </c>
      <c r="M611" t="n">
        <v>0</v>
      </c>
      <c r="N611">
        <f>SUM(J611:M611)</f>
        <v/>
      </c>
      <c r="O611" s="4">
        <f>SUM(J611:L611)/SUM(J611:M611)</f>
        <v/>
      </c>
      <c r="P611" s="5">
        <f>MAX(J611:L611)/SUM(J611:L611)</f>
        <v/>
      </c>
    </row>
    <row r="612">
      <c r="A612" t="inlineStr">
        <is>
          <t>Segundo año</t>
        </is>
      </c>
      <c r="B612" t="inlineStr">
        <is>
          <t>Tercer periodo</t>
        </is>
      </c>
      <c r="C612" t="n">
        <v>19</v>
      </c>
      <c r="D612" t="n">
        <v>610</v>
      </c>
      <c r="E612" s="3" t="n">
        <v>46163</v>
      </c>
      <c r="F612" t="inlineStr">
        <is>
          <t>Iniciativa</t>
        </is>
      </c>
      <c r="G612" t="inlineStr">
        <is>
          <t xml:space="preserve">Dictamen con minuta de decreto por el cual se reforman la fracción vi del artículo 69, el segundo párrafo del 76, el 78 y el primer párrafo del 79 de la ley de la juventud para el estado de </t>
        </is>
      </c>
      <c r="H612" t="n">
        <v>18</v>
      </c>
      <c r="I612" t="inlineStr">
        <is>
          <t>Administración Pública</t>
        </is>
      </c>
      <c r="J612" t="n">
        <v>40</v>
      </c>
      <c r="K612" t="n">
        <v>0</v>
      </c>
      <c r="L612" t="n">
        <v>0</v>
      </c>
      <c r="M612" t="n">
        <v>0</v>
      </c>
      <c r="N612">
        <f>SUM(J612:M612)</f>
        <v/>
      </c>
      <c r="O612" s="4">
        <f>SUM(J612:L612)/SUM(J612:M612)</f>
        <v/>
      </c>
      <c r="P612" s="5">
        <f>MAX(J612:L612)/SUM(J612:L612)</f>
        <v/>
      </c>
    </row>
    <row r="613">
      <c r="A613" t="inlineStr">
        <is>
          <t>Segundo año</t>
        </is>
      </c>
      <c r="B613" t="inlineStr">
        <is>
          <t>Tercer periodo</t>
        </is>
      </c>
      <c r="C613" t="n">
        <v>20</v>
      </c>
      <c r="D613" t="n">
        <v>611</v>
      </c>
      <c r="E613" s="3" t="n">
        <v>46163</v>
      </c>
      <c r="F613" t="inlineStr">
        <is>
          <t>Iniciativa</t>
        </is>
      </c>
      <c r="G613" t="inlineStr">
        <is>
          <t xml:space="preserve">Dictamen con minuta de decreto por el cual se reforma el artículo 45 de la ley de la juventud para el estado de </t>
        </is>
      </c>
      <c r="H613" t="n">
        <v>18</v>
      </c>
      <c r="I613" t="inlineStr">
        <is>
          <t>Administración Pública</t>
        </is>
      </c>
      <c r="J613" t="n">
        <v>40</v>
      </c>
      <c r="K613" t="n">
        <v>0</v>
      </c>
      <c r="L613" t="n">
        <v>0</v>
      </c>
      <c r="M613" t="n">
        <v>0</v>
      </c>
      <c r="N613">
        <f>SUM(J613:M613)</f>
        <v/>
      </c>
      <c r="O613" s="4">
        <f>SUM(J613:L613)/SUM(J613:M613)</f>
        <v/>
      </c>
      <c r="P613" s="5">
        <f>MAX(J613:L613)/SUM(J613:L613)</f>
        <v/>
      </c>
    </row>
    <row r="614">
      <c r="A614" t="inlineStr">
        <is>
          <t>Segundo año</t>
        </is>
      </c>
      <c r="B614" t="inlineStr">
        <is>
          <t>Tercer periodo</t>
        </is>
      </c>
      <c r="C614" t="n">
        <v>21</v>
      </c>
      <c r="D614" t="n">
        <v>612</v>
      </c>
      <c r="E614" s="3" t="n">
        <v>46163</v>
      </c>
      <c r="F614" t="inlineStr">
        <is>
          <t>Iniciativa</t>
        </is>
      </c>
      <c r="G614" t="inlineStr">
        <is>
          <t xml:space="preserve">Dictamen con minuta de decreto por el cual se reforman y adicionan diversas disposiciones de la ley de desarrollo social para el estado de </t>
        </is>
      </c>
      <c r="H614" t="n">
        <v>2</v>
      </c>
      <c r="I614" t="inlineStr">
        <is>
          <t>Pobreza y Política Social</t>
        </is>
      </c>
      <c r="J614" t="n">
        <v>40</v>
      </c>
      <c r="K614" t="n">
        <v>0</v>
      </c>
      <c r="L614" t="n">
        <v>0</v>
      </c>
      <c r="M614" t="n">
        <v>0</v>
      </c>
      <c r="N614">
        <f>SUM(J614:M614)</f>
        <v/>
      </c>
      <c r="O614" s="4">
        <f>SUM(J614:L614)/SUM(J614:M614)</f>
        <v/>
      </c>
      <c r="P614" s="5">
        <f>MAX(J614:L614)/SUM(J614:L614)</f>
        <v/>
      </c>
    </row>
    <row r="615">
      <c r="A615" t="inlineStr">
        <is>
          <t>Segundo año</t>
        </is>
      </c>
      <c r="B615" t="inlineStr">
        <is>
          <t>Tercer periodo</t>
        </is>
      </c>
      <c r="C615" t="n">
        <v>22</v>
      </c>
      <c r="D615" t="n">
        <v>613</v>
      </c>
      <c r="E615" s="3" t="n">
        <v>46163</v>
      </c>
      <c r="F615" t="inlineStr">
        <is>
          <t>Iniciativa</t>
        </is>
      </c>
      <c r="G615" t="inlineStr">
        <is>
          <t xml:space="preserve">Dictamen con minuta de decreto por el cual se reforman, adicionan y derogan diversas disposiciones de la ley de cultura del estado de </t>
        </is>
      </c>
      <c r="H615" t="n">
        <v>8</v>
      </c>
      <c r="I615" t="inlineStr">
        <is>
          <t>Educación y Cultura</t>
        </is>
      </c>
      <c r="J615" t="n">
        <v>40</v>
      </c>
      <c r="K615" t="n">
        <v>0</v>
      </c>
      <c r="L615" t="n">
        <v>0</v>
      </c>
      <c r="M615" t="n">
        <v>0</v>
      </c>
      <c r="N615">
        <f>SUM(J615:M615)</f>
        <v/>
      </c>
      <c r="O615" s="4">
        <f>SUM(J615:L615)/SUM(J615:M615)</f>
        <v/>
      </c>
      <c r="P615" s="5">
        <f>MAX(J615:L615)/SUM(J615:L615)</f>
        <v/>
      </c>
    </row>
    <row r="616">
      <c r="A616" t="inlineStr">
        <is>
          <t>Segundo año</t>
        </is>
      </c>
      <c r="B616" t="inlineStr">
        <is>
          <t>Tercer periodo</t>
        </is>
      </c>
      <c r="C616" t="n">
        <v>23</v>
      </c>
      <c r="D616" t="n">
        <v>614</v>
      </c>
      <c r="E616" s="3" t="n">
        <v>46163</v>
      </c>
      <c r="F616" t="inlineStr">
        <is>
          <t>Iniciativa</t>
        </is>
      </c>
      <c r="G616" t="inlineStr">
        <is>
          <t xml:space="preserve">Dictamen con minuta de decreto por el cual se reforma el primer párrafo y las fracciones xiv y xv del artículo 10; y se adiciona la fracción xvi al artículo 10 de la ley para la igualdad entre mujeres y hombres del estado de </t>
        </is>
      </c>
      <c r="H616" t="n">
        <v>20</v>
      </c>
      <c r="I616" t="inlineStr">
        <is>
          <t>Justicia y Estado de Derecho en temas de Mujeres</t>
        </is>
      </c>
      <c r="J616" t="n">
        <v>40</v>
      </c>
      <c r="K616" t="n">
        <v>0</v>
      </c>
      <c r="L616" t="n">
        <v>0</v>
      </c>
      <c r="M616" t="n">
        <v>0</v>
      </c>
      <c r="N616">
        <f>SUM(J616:M616)</f>
        <v/>
      </c>
      <c r="O616" s="4">
        <f>SUM(J616:L616)/SUM(J616:M616)</f>
        <v/>
      </c>
      <c r="P616" s="5">
        <f>MAX(J616:L616)/SUM(J616:L616)</f>
        <v/>
      </c>
    </row>
    <row r="617">
      <c r="A617" t="inlineStr">
        <is>
          <t>Segundo año</t>
        </is>
      </c>
      <c r="B617" t="inlineStr">
        <is>
          <t>Tercer periodo</t>
        </is>
      </c>
      <c r="C617" t="n">
        <v>24</v>
      </c>
      <c r="D617" t="n">
        <v>615</v>
      </c>
      <c r="E617" s="3" t="n">
        <v>46163</v>
      </c>
      <c r="F617" t="inlineStr">
        <is>
          <t>Iniciativa</t>
        </is>
      </c>
      <c r="G617" t="inlineStr">
        <is>
          <t xml:space="preserve">Dictamen con minuta de decreto por el cual se reforman los artículos 22 y 22 bis de la ley para el acceso de las mujeres a una vida libre de violencia del estado de </t>
        </is>
      </c>
      <c r="H617" t="n">
        <v>20</v>
      </c>
      <c r="I617" t="inlineStr">
        <is>
          <t>Justicia y Estado de Derecho en temas de Mujeres</t>
        </is>
      </c>
      <c r="J617" t="n">
        <v>39</v>
      </c>
      <c r="K617" t="n">
        <v>0</v>
      </c>
      <c r="L617" t="n">
        <v>1</v>
      </c>
      <c r="M617" t="n">
        <v>0</v>
      </c>
      <c r="N617">
        <f>SUM(J617:M617)</f>
        <v/>
      </c>
      <c r="O617" s="4">
        <f>SUM(J617:L617)/SUM(J617:M617)</f>
        <v/>
      </c>
      <c r="P617" s="5">
        <f>MAX(J617:L617)/SUM(J617:L617)</f>
        <v/>
      </c>
    </row>
    <row r="618">
      <c r="A618" t="inlineStr">
        <is>
          <t>Segundo año</t>
        </is>
      </c>
      <c r="B618" t="inlineStr">
        <is>
          <t>Tercer periodo</t>
        </is>
      </c>
      <c r="C618" t="n">
        <v>25</v>
      </c>
      <c r="D618" t="n">
        <v>616</v>
      </c>
      <c r="E618" s="3" t="n">
        <v>46163</v>
      </c>
      <c r="F618" t="inlineStr">
        <is>
          <t>Iniciativa</t>
        </is>
      </c>
      <c r="G618" t="inlineStr">
        <is>
          <t xml:space="preserve">Dictamen con minuta de decreto por el cual se reforman las fracciones xi y xii; y se adiciona la fracción xiii al artículo 43 de la ley para el acceso de las mujeres a una vida libre de violencia del estado de </t>
        </is>
      </c>
      <c r="H618" t="n">
        <v>20</v>
      </c>
      <c r="I618" t="inlineStr">
        <is>
          <t>Justicia y Estado de Derecho en temas de Mujeres</t>
        </is>
      </c>
      <c r="J618" t="n">
        <v>39</v>
      </c>
      <c r="K618" t="n">
        <v>0</v>
      </c>
      <c r="L618" t="n">
        <v>1</v>
      </c>
      <c r="M618" t="n">
        <v>0</v>
      </c>
      <c r="N618">
        <f>SUM(J618:M618)</f>
        <v/>
      </c>
      <c r="O618" s="4">
        <f>SUM(J618:L618)/SUM(J618:M618)</f>
        <v/>
      </c>
      <c r="P618" s="5">
        <f>MAX(J618:L618)/SUM(J618:L618)</f>
        <v/>
      </c>
    </row>
    <row r="619">
      <c r="A619" t="inlineStr">
        <is>
          <t>Segundo año</t>
        </is>
      </c>
      <c r="B619" t="inlineStr">
        <is>
          <t>Tercer periodo</t>
        </is>
      </c>
      <c r="C619" t="n">
        <v>26</v>
      </c>
      <c r="D619" t="n">
        <v>617</v>
      </c>
      <c r="E619" s="3" t="n">
        <v>46163</v>
      </c>
      <c r="F619" t="inlineStr">
        <is>
          <t>Iniciativa</t>
        </is>
      </c>
      <c r="G619" t="inlineStr">
        <is>
          <t xml:space="preserve">Dictamen con minuta de decreto por el cual se reforman diversas disposiciones del código penal del estado libre y soberano de </t>
        </is>
      </c>
      <c r="H619" t="n">
        <v>14</v>
      </c>
      <c r="I619" t="inlineStr">
        <is>
          <t>Justicia y Estado de Derecho</t>
        </is>
      </c>
      <c r="J619" t="n">
        <v>40</v>
      </c>
      <c r="K619" t="n">
        <v>0</v>
      </c>
      <c r="L619" t="n">
        <v>0</v>
      </c>
      <c r="M619" t="n">
        <v>0</v>
      </c>
      <c r="N619">
        <f>SUM(J619:M619)</f>
        <v/>
      </c>
      <c r="O619" s="4">
        <f>SUM(J619:L619)/SUM(J619:M619)</f>
        <v/>
      </c>
      <c r="P619" s="5">
        <f>MAX(J619:L619)/SUM(J619:L619)</f>
        <v/>
      </c>
    </row>
    <row r="620">
      <c r="A620" t="inlineStr">
        <is>
          <t>Segundo año</t>
        </is>
      </c>
      <c r="B620" t="inlineStr">
        <is>
          <t>Tercer periodo</t>
        </is>
      </c>
      <c r="C620" t="n">
        <v>27</v>
      </c>
      <c r="D620" t="n">
        <v>618</v>
      </c>
      <c r="E620" s="3" t="n">
        <v>46163</v>
      </c>
      <c r="F620" t="inlineStr">
        <is>
          <t>Iniciativa</t>
        </is>
      </c>
      <c r="G620" t="inlineStr">
        <is>
          <t xml:space="preserve">Dictamen con minuta de decreto por el cual se reforman la denominación de la sección segunda del capítulo séptimo del libro segundo y el artículo 224 del código penal del estado libre y soberano de </t>
        </is>
      </c>
      <c r="H620" t="n">
        <v>14</v>
      </c>
      <c r="I620" t="inlineStr">
        <is>
          <t>Justicia y Estado de Derecho</t>
        </is>
      </c>
      <c r="J620" t="n">
        <v>40</v>
      </c>
      <c r="K620" t="n">
        <v>0</v>
      </c>
      <c r="L620" t="n">
        <v>0</v>
      </c>
      <c r="M620" t="n">
        <v>0</v>
      </c>
      <c r="N620">
        <f>SUM(J620:M620)</f>
        <v/>
      </c>
      <c r="O620" s="4">
        <f>SUM(J620:L620)/SUM(J620:M620)</f>
        <v/>
      </c>
      <c r="P620" s="5">
        <f>MAX(J620:L620)/SUM(J620:L620)</f>
        <v/>
      </c>
    </row>
    <row r="621">
      <c r="A621" t="inlineStr">
        <is>
          <t>Segundo año</t>
        </is>
      </c>
      <c r="B621" t="inlineStr">
        <is>
          <t>Tercer periodo</t>
        </is>
      </c>
      <c r="C621" t="n">
        <v>28</v>
      </c>
      <c r="D621" t="n">
        <v>619</v>
      </c>
      <c r="E621" s="3" t="n">
        <v>46163</v>
      </c>
      <c r="F621" t="inlineStr">
        <is>
          <t>Punto de Acuerdo</t>
        </is>
      </c>
      <c r="G621" t="inlineStr">
        <is>
          <t>Acuerdo por el que se exhorta a los diecinueve municipios que integran la zona metropolitana del estado, para que, en el ámbito de su competencia, realicen el mantenimiento y desazolve de la red de drenaje y alcantarillado de sus calles, avenidas y bulevares, con el fin de evitar inundaciones en la temporada de lluvias</t>
        </is>
      </c>
      <c r="H621" t="n">
        <v>3</v>
      </c>
      <c r="I621" t="inlineStr">
        <is>
          <t>Seguridad Pública, Protección Civil y Narcotráfico</t>
        </is>
      </c>
      <c r="J621" t="n">
        <v>40</v>
      </c>
      <c r="K621" t="n">
        <v>0</v>
      </c>
      <c r="L621" t="n">
        <v>0</v>
      </c>
      <c r="M621" t="n">
        <v>0</v>
      </c>
      <c r="N621">
        <f>SUM(J621:M621)</f>
        <v/>
      </c>
      <c r="O621" s="4">
        <f>SUM(J621:L621)/SUM(J621:M621)</f>
        <v/>
      </c>
      <c r="P621" s="5">
        <f>MAX(J621:L621)/SUM(J621:L621)</f>
        <v/>
      </c>
    </row>
    <row r="622">
      <c r="A622" t="inlineStr">
        <is>
          <t>Segundo año</t>
        </is>
      </c>
      <c r="B622" t="inlineStr">
        <is>
          <t>Tercer periodo</t>
        </is>
      </c>
      <c r="C622" t="n">
        <v>29</v>
      </c>
      <c r="D622" t="n">
        <v>620</v>
      </c>
      <c r="E622" s="3" t="n">
        <v>46163</v>
      </c>
      <c r="F622" t="inlineStr">
        <is>
          <t>Punto de Acuerdo</t>
        </is>
      </c>
      <c r="G622" t="inlineStr">
        <is>
          <t>Acuerdo por el que se exhorta a los diecinueve municipios que integran la zona metropolitana del estado, para que, en el ámbito de sus atribuciones y en coordinación con las autoridades competentes, diseñen, implementen y, en su caso, gestionen acciones en materia de vivienda, con el fin de brindar opciones para garantizar aquel derecho en sus respectivas demarcaciones</t>
        </is>
      </c>
      <c r="H622" t="n">
        <v>2</v>
      </c>
      <c r="I622" t="inlineStr">
        <is>
          <t>Pobreza y Política Social</t>
        </is>
      </c>
      <c r="J622" t="n">
        <v>40</v>
      </c>
      <c r="K622" t="n">
        <v>0</v>
      </c>
      <c r="L622" t="n">
        <v>0</v>
      </c>
      <c r="M622" t="n">
        <v>0</v>
      </c>
      <c r="N622">
        <f>SUM(J622:M622)</f>
        <v/>
      </c>
      <c r="O622" s="4">
        <f>SUM(J622:L622)/SUM(J622:M622)</f>
        <v/>
      </c>
      <c r="P622" s="5">
        <f>MAX(J622:L622)/SUM(J622:L622)</f>
        <v/>
      </c>
    </row>
    <row r="623">
      <c r="A623" t="inlineStr">
        <is>
          <t>Segundo año</t>
        </is>
      </c>
      <c r="B623" t="inlineStr">
        <is>
          <t>Tercer periodo</t>
        </is>
      </c>
      <c r="C623" t="n">
        <v>30</v>
      </c>
      <c r="D623" t="n">
        <v>621</v>
      </c>
      <c r="E623" s="3" t="n">
        <v>46163</v>
      </c>
      <c r="F623" t="inlineStr">
        <is>
          <t>Punto de Acuerdo</t>
        </is>
      </c>
      <c r="G623" t="inlineStr">
        <is>
          <t>Acuerdo por el que se exhorta a la secretaría de desarrollo turístico del estado para que, en coordinación con los ayuntamientos de Libres, Ocotepec, Cuyoaco, Xiutetelco, Tepeyahualco, Guadalupe Victoria, Lafragua, Chilchotla, Quimixtlán, Chichiquila y Tlachichuca, promocionen los atractivos culturales y turísticos de aquella región con el fin de reactivar su economía, fomentar la generación de empleos e impulsar su desarrollo</t>
        </is>
      </c>
      <c r="H623" t="n">
        <v>1</v>
      </c>
      <c r="I623" t="inlineStr">
        <is>
          <t>Economía, Comercio y Competitividad</t>
        </is>
      </c>
      <c r="J623" t="n">
        <v>40</v>
      </c>
      <c r="K623" t="n">
        <v>0</v>
      </c>
      <c r="L623" t="n">
        <v>0</v>
      </c>
      <c r="M623" t="n">
        <v>0</v>
      </c>
      <c r="N623">
        <f>SUM(J623:M623)</f>
        <v/>
      </c>
      <c r="O623" s="4">
        <f>SUM(J623:L623)/SUM(J623:M623)</f>
        <v/>
      </c>
      <c r="P623" s="5">
        <f>MAX(J623:L623)/SUM(J623:L623)</f>
        <v/>
      </c>
    </row>
    <row r="624">
      <c r="A624" t="inlineStr">
        <is>
          <t>Segundo año</t>
        </is>
      </c>
      <c r="B624" t="inlineStr">
        <is>
          <t>Tercer periodo</t>
        </is>
      </c>
      <c r="C624" t="n">
        <v>31</v>
      </c>
      <c r="D624" t="n">
        <v>622</v>
      </c>
      <c r="E624" s="3" t="n">
        <v>46163</v>
      </c>
      <c r="F624" t="inlineStr">
        <is>
          <t>Punto de Acuerdo</t>
        </is>
      </c>
      <c r="G624" t="inlineStr">
        <is>
          <t>Acuerdo por el que se exhorta a la secretaría de desarrollo turístico para que, en coordinación con la secretaría de medio ambiente, desarrollo sustentable y ordenamiento territorial, ambas del estado, integren y promuevan un modelo de turismo sostenible que incluya la concientización y capacitación de personas residentes, turistas, prestadoras de servicios turísticos y autoridades, con el fin de consolidar en la entidad destinos turísticos ambientalmente responsables</t>
        </is>
      </c>
      <c r="H624" t="n">
        <v>5</v>
      </c>
      <c r="I624" t="inlineStr">
        <is>
          <t>Medio Ambiente</t>
        </is>
      </c>
      <c r="J624" t="n">
        <v>40</v>
      </c>
      <c r="K624" t="n">
        <v>0</v>
      </c>
      <c r="L624" t="n">
        <v>0</v>
      </c>
      <c r="M624" t="n">
        <v>0</v>
      </c>
      <c r="N624">
        <f>SUM(J624:M624)</f>
        <v/>
      </c>
      <c r="O624" s="4">
        <f>SUM(J624:L624)/SUM(J624:M624)</f>
        <v/>
      </c>
      <c r="P624" s="5">
        <f>MAX(J624:L624)/SUM(J624:L624)</f>
        <v/>
      </c>
    </row>
    <row r="625">
      <c r="A625" t="inlineStr">
        <is>
          <t>Segundo año</t>
        </is>
      </c>
      <c r="B625" t="inlineStr">
        <is>
          <t>Tercer periodo</t>
        </is>
      </c>
      <c r="C625" t="n">
        <v>32</v>
      </c>
      <c r="D625" t="n">
        <v>623</v>
      </c>
      <c r="E625" s="3" t="n">
        <v>46163</v>
      </c>
      <c r="F625" t="inlineStr">
        <is>
          <t>Punto de Acuerdo</t>
        </is>
      </c>
      <c r="G625" t="inlineStr">
        <is>
          <t>Acuerdo por el que se exhorta a la secretaría de deporte y juventud, y a los doscientos doce ayuntamientos y cinco concejos municipales del estado, para que de manera coordinada y en el ámbito de su respectiva competencia, implementen y/o fortalezcan acciones de deporte comunitario con enfoque inclusivo, equitativo y accesible, garantizando la participación de niñas, niños, adolescentes y demás personas en situación de vulnerabilidad; asimismo, para que impulsen el mantenimiento, dignificación, rescate y uso responsable de los espacios públicos destinados a la activación física, con el propósito de contribuir al bienestar de la población, la prevención de la violencia y el fortalecimiento de la cohesión social</t>
        </is>
      </c>
      <c r="H625" t="n">
        <v>8</v>
      </c>
      <c r="I625" t="inlineStr">
        <is>
          <t>Educación y Cultura</t>
        </is>
      </c>
      <c r="J625" t="n">
        <v>40</v>
      </c>
      <c r="K625" t="n">
        <v>0</v>
      </c>
      <c r="L625" t="n">
        <v>0</v>
      </c>
      <c r="M625" t="n">
        <v>0</v>
      </c>
      <c r="N625">
        <f>SUM(J625:M625)</f>
        <v/>
      </c>
      <c r="O625" s="4">
        <f>SUM(J625:L625)/SUM(J625:M625)</f>
        <v/>
      </c>
      <c r="P625" s="5">
        <f>MAX(J625:L625)/SUM(J625:L625)</f>
        <v/>
      </c>
    </row>
    <row r="626">
      <c r="A626" t="inlineStr">
        <is>
          <t>Segundo año</t>
        </is>
      </c>
      <c r="B626" t="inlineStr">
        <is>
          <t>Tercer periodo</t>
        </is>
      </c>
      <c r="C626" t="n">
        <v>33</v>
      </c>
      <c r="D626" t="n">
        <v>624</v>
      </c>
      <c r="E626" s="3" t="n">
        <v>46163</v>
      </c>
      <c r="F626" t="inlineStr">
        <is>
          <t>Punto de Acuerdo</t>
        </is>
      </c>
      <c r="G626" t="inlineStr">
        <is>
          <t>Acuerdo por el que se exhorta a la secretaría de arte y cultura del estado para que, en coordinación con el instituto poblano de los pueblos indígenas, retome y fortalezca las acciones necesarias para solicitar al gobernador del estado la emisión de la declaratoria de patrimonio cultural de la “tradición textil y de bordado” de los municipios de Hueyapan, Atempan, Teteles de Ávila Castillo, Yaonahuac, Tlatlauquitepec, Zacapoaxtla y Teziutlán, todos del estado; así como para que, en coordinación con las autoridades municipales, implemente las acciones encaminadas a la protección de los diseños textiles tradicionales, la prevención y combate del plagio, el apoyo y fortalecimiento productivo y comercial de las artesanas y artesanos, y la preservación de los saberes comunitarios</t>
        </is>
      </c>
      <c r="H626" t="n">
        <v>8</v>
      </c>
      <c r="I626" t="inlineStr">
        <is>
          <t>Educación y Cultura</t>
        </is>
      </c>
      <c r="J626" t="n">
        <v>40</v>
      </c>
      <c r="K626" t="n">
        <v>0</v>
      </c>
      <c r="L626" t="n">
        <v>0</v>
      </c>
      <c r="M626" t="n">
        <v>0</v>
      </c>
      <c r="N626">
        <f>SUM(J626:M626)</f>
        <v/>
      </c>
      <c r="O626" s="4">
        <f>SUM(J626:L626)/SUM(J626:M626)</f>
        <v/>
      </c>
      <c r="P626" s="5">
        <f>MAX(J626:L626)/SUM(J626:L626)</f>
        <v/>
      </c>
    </row>
    <row r="627">
      <c r="A627" t="inlineStr">
        <is>
          <t>Segundo año</t>
        </is>
      </c>
      <c r="B627" t="inlineStr">
        <is>
          <t>Tercer periodo</t>
        </is>
      </c>
      <c r="C627" t="n">
        <v>34</v>
      </c>
      <c r="D627" t="n">
        <v>625</v>
      </c>
      <c r="E627" s="3" t="n">
        <v>46163</v>
      </c>
      <c r="F627" t="inlineStr">
        <is>
          <t>Punto de Acuerdo</t>
        </is>
      </c>
      <c r="G627" t="inlineStr">
        <is>
          <t>Acuerdo por el cual se prorroga la sesión</t>
        </is>
      </c>
      <c r="H627" t="n">
        <v>19</v>
      </c>
      <c r="I627" t="inlineStr">
        <is>
          <t>Internos del Congreso</t>
        </is>
      </c>
      <c r="J627" t="n">
        <v>40</v>
      </c>
      <c r="K627" t="n">
        <v>0</v>
      </c>
      <c r="L627" t="n">
        <v>0</v>
      </c>
      <c r="M627" t="n">
        <v>0</v>
      </c>
      <c r="N627">
        <f>SUM(J627:M627)</f>
        <v/>
      </c>
      <c r="O627" s="4">
        <f>SUM(J627:L627)/SUM(J627:M627)</f>
        <v/>
      </c>
      <c r="P627" s="5">
        <f>MAX(J627:L627)/SUM(J627:L627)</f>
        <v/>
      </c>
    </row>
    <row r="628">
      <c r="A628" t="inlineStr">
        <is>
          <t>Segundo año</t>
        </is>
      </c>
      <c r="B628" t="inlineStr">
        <is>
          <t>Tercer periodo</t>
        </is>
      </c>
      <c r="C628" t="n">
        <v>35</v>
      </c>
      <c r="D628" t="n">
        <v>626</v>
      </c>
      <c r="E628" s="3" t="n">
        <v>46170</v>
      </c>
      <c r="F628" t="inlineStr">
        <is>
          <t>Iniciativa</t>
        </is>
      </c>
      <c r="G628" t="inlineStr">
        <is>
          <t>Dictamen con minuta de decreto por el cual se autoriza al honorable ayuntamiento del municipio de Zacatlán, la enajenación bajo la figura de donación a título gratuito a favor de las mujeres que así lo solicitaron o a quien legalmente acredite la cesión de sus derechos, con destino a la construcción de casas habitación</t>
        </is>
      </c>
      <c r="H628" t="n">
        <v>7</v>
      </c>
      <c r="I628" t="inlineStr">
        <is>
          <t>Impuestos, Finanzas Públicas, Patrimonio estatal y municipal</t>
        </is>
      </c>
      <c r="J628" t="n">
        <v>37</v>
      </c>
      <c r="K628" t="n">
        <v>0</v>
      </c>
      <c r="L628" t="n">
        <v>0</v>
      </c>
      <c r="M628" t="n">
        <v>4</v>
      </c>
      <c r="N628">
        <f>SUM(J628:M628)</f>
        <v/>
      </c>
      <c r="O628" s="4">
        <f>SUM(J628:L628)/SUM(J628:M628)</f>
        <v/>
      </c>
      <c r="P628" s="5">
        <f>MAX(J628:L628)/SUM(J628:L628)</f>
        <v/>
      </c>
    </row>
    <row r="629">
      <c r="A629" t="inlineStr">
        <is>
          <t>Segundo año</t>
        </is>
      </c>
      <c r="B629" t="inlineStr">
        <is>
          <t>Tercer periodo</t>
        </is>
      </c>
      <c r="C629" t="n">
        <v>36</v>
      </c>
      <c r="D629" t="n">
        <v>627</v>
      </c>
      <c r="E629" s="3" t="n">
        <v>46170</v>
      </c>
      <c r="F629" t="inlineStr">
        <is>
          <t>Iniciativa</t>
        </is>
      </c>
      <c r="G629" t="inlineStr">
        <is>
          <t>Dictamen con minuta de decreto por el cual se autoriza al honorable ayuntamiento del municipio de Tehuacán, la enajenación bajo la figura jurídica de donación a título gratuito a favor gobierno del estado de con destino a la secretaría de educación pública para la construcción y funcionamiento del “bachillerato general oficial emiliano zapata”</t>
        </is>
      </c>
      <c r="H629" t="n">
        <v>7</v>
      </c>
      <c r="I629" t="inlineStr">
        <is>
          <t>Impuestos, Finanzas Públicas, Patrimonio estatal y municipal</t>
        </is>
      </c>
      <c r="J629" t="n">
        <v>38</v>
      </c>
      <c r="K629" t="n">
        <v>0</v>
      </c>
      <c r="L629" t="n">
        <v>0</v>
      </c>
      <c r="M629" t="n">
        <v>3</v>
      </c>
      <c r="N629">
        <f>SUM(J629:M629)</f>
        <v/>
      </c>
      <c r="O629" s="4">
        <f>SUM(J629:L629)/SUM(J629:M629)</f>
        <v/>
      </c>
      <c r="P629" s="5">
        <f>MAX(J629:L629)/SUM(J629:L629)</f>
        <v/>
      </c>
    </row>
    <row r="630">
      <c r="A630" t="inlineStr">
        <is>
          <t>Segundo año</t>
        </is>
      </c>
      <c r="B630" t="inlineStr">
        <is>
          <t>Tercer periodo</t>
        </is>
      </c>
      <c r="C630" t="n">
        <v>37</v>
      </c>
      <c r="D630" t="n">
        <v>628</v>
      </c>
      <c r="E630" s="3" t="n">
        <v>46170</v>
      </c>
      <c r="F630" t="inlineStr">
        <is>
          <t>Iniciativa</t>
        </is>
      </c>
      <c r="G630" t="inlineStr">
        <is>
          <t>Dictamen con minuta de decreto por el cual se autoriza al honorable ayuntamiento del municipio de Santa Isabel Cholula, estado de , la enajenación bajo la figura de donación a título gratuito de una superficie de 1,603.77.06 (mil seiscientos tres metros cuadrados setenta y siete centímetros seis milímetros), a favor del organismo público descentralizado de la administración pública federal no sectorizado denominado servicios de salud del instituto mexicano del seguro social para el bienestar (imss-bienestar), para el funcionamiento del centro de salud de San Pablo Ahuatempan</t>
        </is>
      </c>
      <c r="H630" t="n">
        <v>7</v>
      </c>
      <c r="I630" t="inlineStr">
        <is>
          <t>Impuestos, Finanzas Públicas, Patrimonio estatal y municipal</t>
        </is>
      </c>
      <c r="J630" t="n">
        <v>38</v>
      </c>
      <c r="K630" t="n">
        <v>0</v>
      </c>
      <c r="L630" t="n">
        <v>0</v>
      </c>
      <c r="M630" t="n">
        <v>3</v>
      </c>
      <c r="N630">
        <f>SUM(J630:M630)</f>
        <v/>
      </c>
      <c r="O630" s="4">
        <f>SUM(J630:L630)/SUM(J630:M630)</f>
        <v/>
      </c>
      <c r="P630" s="5">
        <f>MAX(J630:L630)/SUM(J630:L630)</f>
        <v/>
      </c>
    </row>
    <row r="631">
      <c r="A631" t="inlineStr">
        <is>
          <t>Segundo año</t>
        </is>
      </c>
      <c r="B631" t="inlineStr">
        <is>
          <t>Tercer periodo</t>
        </is>
      </c>
      <c r="C631" t="n">
        <v>38</v>
      </c>
      <c r="D631" t="n">
        <v>629</v>
      </c>
      <c r="E631" s="3" t="n">
        <v>46170</v>
      </c>
      <c r="F631" t="inlineStr">
        <is>
          <t>Iniciativa</t>
        </is>
      </c>
      <c r="G631" t="inlineStr">
        <is>
          <t>Dictamen con minuta de decreto por el cual se autoriza al honorable ayuntamiento del municipio de Santa Isabel Cholula, estado de , la enajenación bajo la figura de donación a título gratuito de una superficie de 1,603.77.06 (mil seiscientos tres metros cuadrados setenta y siete centímetros seis milímetros), a favor del organismo público descentralizado de la administración pública federal no sectorizado denominado servicios de salud del instituto mexicano del seguro social para el bienestar (imss-bienestar), para el funcionamiento del centro de salud de San Pablo Ahuatempan</t>
        </is>
      </c>
      <c r="H631" t="n">
        <v>7</v>
      </c>
      <c r="I631" t="inlineStr">
        <is>
          <t>Impuestos, Finanzas Públicas, Patrimonio estatal y municipal</t>
        </is>
      </c>
      <c r="J631" t="n">
        <v>38</v>
      </c>
      <c r="K631" t="n">
        <v>0</v>
      </c>
      <c r="L631" t="n">
        <v>0</v>
      </c>
      <c r="M631" t="n">
        <v>3</v>
      </c>
      <c r="N631">
        <f>SUM(J631:M631)</f>
        <v/>
      </c>
      <c r="O631" s="4">
        <f>SUM(J631:L631)/SUM(J631:M631)</f>
        <v/>
      </c>
      <c r="P631" s="5">
        <f>MAX(J631:L631)/SUM(J631:L631)</f>
        <v/>
      </c>
    </row>
    <row r="632">
      <c r="A632" t="inlineStr">
        <is>
          <t>Segundo año</t>
        </is>
      </c>
      <c r="B632" t="inlineStr">
        <is>
          <t>Tercer periodo</t>
        </is>
      </c>
      <c r="C632" t="n">
        <v>39</v>
      </c>
      <c r="D632" t="n">
        <v>630</v>
      </c>
      <c r="E632" s="3" t="n">
        <v>46170</v>
      </c>
      <c r="F632" t="inlineStr">
        <is>
          <t>Iniciativa</t>
        </is>
      </c>
      <c r="G632" t="inlineStr">
        <is>
          <t>Dictamen con minuta de decreto por el cual se autoriza al honorable ayuntamiento del municipio de Tepeaca, la enajenación bajo la figura de donación onerosa de la superficie total de 240,072.062 metros cuadrados, correspondientes a una fracción de los terrenos rústicos de los en que se dividió el llamado “rancho de san andresito o ex-hacienda de san felipe tenextepec” del municipio de tepeaca, ; mismo que se ubica sobre la carretera tepeaca-san lorenzo la joya, a favor del gobierno del estado de con destino a la secretaría de medio ambiente, desarrollo sustentable y ordenamiento territorial (smadsot); para que se dé cumplimiento a la causa de utilidad pública contenida en el decreto de expropiación consistente en la ejecución del “proyecto de construcción, mantenimiento y operación del centro de tratamiento y transformación de residuos sólidos en el municipio de tepeaca, ”</t>
        </is>
      </c>
      <c r="H632" t="n">
        <v>7</v>
      </c>
      <c r="I632" t="inlineStr">
        <is>
          <t>Impuestos, Finanzas Públicas, Patrimonio estatal y municipal</t>
        </is>
      </c>
      <c r="J632" t="n">
        <v>34</v>
      </c>
      <c r="K632" t="n">
        <v>0</v>
      </c>
      <c r="L632" t="n">
        <v>5</v>
      </c>
      <c r="M632" t="n">
        <v>2</v>
      </c>
      <c r="N632">
        <f>SUM(J632:M632)</f>
        <v/>
      </c>
      <c r="O632" s="4">
        <f>SUM(J632:L632)/SUM(J632:M632)</f>
        <v/>
      </c>
      <c r="P632" s="5">
        <f>MAX(J632:L632)/SUM(J632:L632)</f>
        <v/>
      </c>
    </row>
    <row r="633">
      <c r="A633" t="inlineStr">
        <is>
          <t>Segundo año</t>
        </is>
      </c>
      <c r="B633" t="inlineStr">
        <is>
          <t>Tercer periodo</t>
        </is>
      </c>
      <c r="C633" t="n">
        <v>40</v>
      </c>
      <c r="D633" t="n">
        <v>631</v>
      </c>
      <c r="E633" s="3" t="n">
        <v>46170</v>
      </c>
      <c r="F633" t="inlineStr">
        <is>
          <t>Iniciativa</t>
        </is>
      </c>
      <c r="G633" t="inlineStr">
        <is>
          <t>Dictamen con minuta de decreto por el cual se reforma el tercer párrafo del artículo 11 bis, el primer párrafo del 55, el acápite del 68, el 69 y la fracción vii del 122; y se adiciona un tercer párrafo al 55; todos de la ley de los derechos de las niñas, niños y adolescentes del estado de</t>
        </is>
      </c>
      <c r="H633" t="n">
        <v>2</v>
      </c>
      <c r="I633" t="inlineStr">
        <is>
          <t>Pobreza y Política Social</t>
        </is>
      </c>
      <c r="J633" t="n">
        <v>35</v>
      </c>
      <c r="K633" t="n">
        <v>0</v>
      </c>
      <c r="L633" t="n">
        <v>4</v>
      </c>
      <c r="M633" t="n">
        <v>2</v>
      </c>
      <c r="N633">
        <f>SUM(J633:M633)</f>
        <v/>
      </c>
      <c r="O633" s="4">
        <f>SUM(J633:L633)/SUM(J633:M633)</f>
        <v/>
      </c>
      <c r="P633" s="5">
        <f>MAX(J633:L633)/SUM(J633:L633)</f>
        <v/>
      </c>
    </row>
    <row r="634">
      <c r="A634" t="inlineStr">
        <is>
          <t>Segundo año</t>
        </is>
      </c>
      <c r="B634" t="inlineStr">
        <is>
          <t>Tercer periodo</t>
        </is>
      </c>
      <c r="C634" t="n">
        <v>41</v>
      </c>
      <c r="D634" t="n">
        <v>632</v>
      </c>
      <c r="E634" s="3" t="n">
        <v>46170</v>
      </c>
      <c r="F634" t="inlineStr">
        <is>
          <t>Iniciativa</t>
        </is>
      </c>
      <c r="G634" t="inlineStr">
        <is>
          <t>Dictamen con minuta de decreto por el cual se reforma el primer párrafo del artículo 8 de la ley de desarrollo rural</t>
        </is>
      </c>
      <c r="H634" t="n">
        <v>12</v>
      </c>
      <c r="I634" t="inlineStr">
        <is>
          <t>Agricultura, Ganadería y Pesca</t>
        </is>
      </c>
      <c r="J634" t="n">
        <v>39</v>
      </c>
      <c r="K634" t="n">
        <v>0</v>
      </c>
      <c r="L634" t="n">
        <v>0</v>
      </c>
      <c r="M634" t="n">
        <v>2</v>
      </c>
      <c r="N634">
        <f>SUM(J634:M634)</f>
        <v/>
      </c>
      <c r="O634" s="4">
        <f>SUM(J634:L634)/SUM(J634:M634)</f>
        <v/>
      </c>
      <c r="P634" s="5">
        <f>MAX(J634:L634)/SUM(J634:L634)</f>
        <v/>
      </c>
    </row>
    <row r="635">
      <c r="A635" t="inlineStr">
        <is>
          <t>Segundo año</t>
        </is>
      </c>
      <c r="B635" t="inlineStr">
        <is>
          <t>Tercer periodo</t>
        </is>
      </c>
      <c r="C635" t="n">
        <v>42</v>
      </c>
      <c r="D635" t="n">
        <v>633</v>
      </c>
      <c r="E635" s="3" t="n">
        <v>46170</v>
      </c>
      <c r="F635" t="inlineStr">
        <is>
          <t>Iniciativa</t>
        </is>
      </c>
      <c r="G635" t="inlineStr">
        <is>
          <t>Dictamen con minuta de decreto por el cual se reforma la fracción xii del artículo 4 de la ley para la protección del ambiente natural y desarrollo sustentable del estado de</t>
        </is>
      </c>
      <c r="H635" t="n">
        <v>5</v>
      </c>
      <c r="I635" t="inlineStr">
        <is>
          <t>Medio Ambiente</t>
        </is>
      </c>
      <c r="J635" t="n">
        <v>39</v>
      </c>
      <c r="K635" t="n">
        <v>0</v>
      </c>
      <c r="L635" t="n">
        <v>0</v>
      </c>
      <c r="M635" t="n">
        <v>2</v>
      </c>
      <c r="N635">
        <f>SUM(J635:M635)</f>
        <v/>
      </c>
      <c r="O635" s="4">
        <f>SUM(J635:L635)/SUM(J635:M635)</f>
        <v/>
      </c>
      <c r="P635" s="5">
        <f>MAX(J635:L635)/SUM(J635:L635)</f>
        <v/>
      </c>
    </row>
    <row r="636">
      <c r="A636" t="inlineStr">
        <is>
          <t>Segundo año</t>
        </is>
      </c>
      <c r="B636" t="inlineStr">
        <is>
          <t>Tercer periodo</t>
        </is>
      </c>
      <c r="C636" t="n">
        <v>43</v>
      </c>
      <c r="D636" t="n">
        <v>634</v>
      </c>
      <c r="E636" s="3" t="n">
        <v>46170</v>
      </c>
      <c r="F636" t="inlineStr">
        <is>
          <t>Iniciativa</t>
        </is>
      </c>
      <c r="G636" t="inlineStr">
        <is>
          <t>Dictamen con minuta de decreto por el cual se adicionan las fracciones xxvi bis y xxvi ter al artículo 4 y un último párrafo al 94 de la ley para la protección del ambiente natural y desarrollo sustentable del estado de</t>
        </is>
      </c>
      <c r="H636" t="n">
        <v>5</v>
      </c>
      <c r="I636" t="inlineStr">
        <is>
          <t>Medio Ambiente</t>
        </is>
      </c>
      <c r="J636" t="n">
        <v>39</v>
      </c>
      <c r="K636" t="n">
        <v>0</v>
      </c>
      <c r="L636" t="n">
        <v>0</v>
      </c>
      <c r="M636" t="n">
        <v>2</v>
      </c>
      <c r="N636">
        <f>SUM(J636:M636)</f>
        <v/>
      </c>
      <c r="O636" s="4">
        <f>SUM(J636:L636)/SUM(J636:M636)</f>
        <v/>
      </c>
      <c r="P636" s="5">
        <f>MAX(J636:L636)/SUM(J636:L636)</f>
        <v/>
      </c>
    </row>
    <row r="637">
      <c r="A637" t="inlineStr">
        <is>
          <t>Segundo año</t>
        </is>
      </c>
      <c r="B637" t="inlineStr">
        <is>
          <t>Tercer periodo</t>
        </is>
      </c>
      <c r="C637" t="n">
        <v>44</v>
      </c>
      <c r="D637" t="n">
        <v>635</v>
      </c>
      <c r="E637" s="3" t="n">
        <v>46170</v>
      </c>
      <c r="F637" t="inlineStr">
        <is>
          <t>Iniciativa</t>
        </is>
      </c>
      <c r="G637" t="inlineStr">
        <is>
          <t>Dictamen con minuta de decreto por el cual se reforma la fracción x del artículo 9 de la ley del sistema anticorrupción del estado de</t>
        </is>
      </c>
      <c r="H637" t="n">
        <v>10</v>
      </c>
      <c r="I637" t="inlineStr">
        <is>
          <t>Transparencia y Rendición de Cuentas</t>
        </is>
      </c>
      <c r="J637" t="n">
        <v>39</v>
      </c>
      <c r="K637" t="n">
        <v>0</v>
      </c>
      <c r="L637" t="n">
        <v>0</v>
      </c>
      <c r="M637" t="n">
        <v>2</v>
      </c>
      <c r="N637">
        <f>SUM(J637:M637)</f>
        <v/>
      </c>
      <c r="O637" s="4">
        <f>SUM(J637:L637)/SUM(J637:M637)</f>
        <v/>
      </c>
      <c r="P637" s="5">
        <f>MAX(J637:L637)/SUM(J637:L637)</f>
        <v/>
      </c>
    </row>
    <row r="638">
      <c r="A638" t="inlineStr">
        <is>
          <t>Segundo año</t>
        </is>
      </c>
      <c r="B638" t="inlineStr">
        <is>
          <t>Tercer periodo</t>
        </is>
      </c>
      <c r="C638" t="n">
        <v>45</v>
      </c>
      <c r="D638" t="n">
        <v>636</v>
      </c>
      <c r="E638" s="3" t="n">
        <v>46170</v>
      </c>
      <c r="F638" t="inlineStr">
        <is>
          <t>Punto de Acuerdo</t>
        </is>
      </c>
      <c r="G638" t="inlineStr">
        <is>
          <t>Acuerdo por el que se exhorta a los doscientos doce ayuntamientos y cinco concejos municipales del estado para que, en el ámbito de su competencia y en atención al protocolo nacional de actuación “primer respondiente”, fortalezcan la coordinación institucional, así como la capacitación y profesionalización policial en las materias de derechos humanos, debida diligencia y protección de víctimas, que deriven en la actuación oportuna de sus elementos en casos de violencia familiar</t>
        </is>
      </c>
      <c r="H638" t="n">
        <v>3</v>
      </c>
      <c r="I638" t="inlineStr">
        <is>
          <t>Seguridad Pública, Protección Civil y Narcotráfico</t>
        </is>
      </c>
      <c r="J638" t="n">
        <v>39</v>
      </c>
      <c r="K638" t="n">
        <v>0</v>
      </c>
      <c r="L638" t="n">
        <v>0</v>
      </c>
      <c r="M638" t="n">
        <v>2</v>
      </c>
      <c r="N638">
        <f>SUM(J638:M638)</f>
        <v/>
      </c>
      <c r="O638" s="4">
        <f>SUM(J638:L638)/SUM(J638:M638)</f>
        <v/>
      </c>
      <c r="P638" s="5">
        <f>MAX(J638:L638)/SUM(J638:L638)</f>
        <v/>
      </c>
    </row>
    <row r="639">
      <c r="A639" t="inlineStr">
        <is>
          <t>Segundo año</t>
        </is>
      </c>
      <c r="B639" t="inlineStr">
        <is>
          <t>Tercer periodo</t>
        </is>
      </c>
      <c r="C639" t="n">
        <v>46</v>
      </c>
      <c r="D639" t="n">
        <v>637</v>
      </c>
      <c r="E639" s="3" t="n">
        <v>46170</v>
      </c>
      <c r="F639" t="inlineStr">
        <is>
          <t>Punto de Acuerdo</t>
        </is>
      </c>
      <c r="G639" t="inlineStr">
        <is>
          <t>Acuerdo por el que se exhorta a la secretaría de agricultura y desarrollo rural del estado, para que, en coordinación con los doscientos doce ayuntamientos y cinco concejos municipales, fortalezca las acciones de capacitación, tecnificación y entrega de insumos en favor de las y los pequeños productores agrícolas</t>
        </is>
      </c>
      <c r="H639" t="n">
        <v>12</v>
      </c>
      <c r="I639" t="inlineStr">
        <is>
          <t>Agricultura, Ganadería y Pesca</t>
        </is>
      </c>
      <c r="J639" t="n">
        <v>39</v>
      </c>
      <c r="K639" t="n">
        <v>0</v>
      </c>
      <c r="L639" t="n">
        <v>0</v>
      </c>
      <c r="M639" t="n">
        <v>2</v>
      </c>
      <c r="N639">
        <f>SUM(J639:M639)</f>
        <v/>
      </c>
      <c r="O639" s="4">
        <f>SUM(J639:L639)/SUM(J639:M639)</f>
        <v/>
      </c>
      <c r="P639" s="5">
        <f>MAX(J639:L639)/SUM(J639:L639)</f>
        <v/>
      </c>
    </row>
    <row r="640">
      <c r="A640" t="inlineStr">
        <is>
          <t>Segundo año</t>
        </is>
      </c>
      <c r="B640" t="inlineStr">
        <is>
          <t>Tercer periodo</t>
        </is>
      </c>
      <c r="C640" t="n">
        <v>47</v>
      </c>
      <c r="D640" t="n">
        <v>638</v>
      </c>
      <c r="E640" s="3" t="n">
        <v>46170</v>
      </c>
      <c r="F640" t="inlineStr">
        <is>
          <t>Punto de Acuerdo</t>
        </is>
      </c>
      <c r="G640" t="inlineStr">
        <is>
          <t>Acuerdo por el que se exhorta a la secretaría de medio ambiente, desarrollo sustentable y ordenamiento territorial del estado, para que implemente campañas informativas sobre el manejo y uso del fuego, así como la prohibición de cualquier quema durante la temporada alta de estiaje, con el fin de proteger, conservar y restaurar los ecosistemas forestales de la entidad poblana</t>
        </is>
      </c>
      <c r="H640" t="n">
        <v>5</v>
      </c>
      <c r="I640" t="inlineStr">
        <is>
          <t>Medio Ambiente</t>
        </is>
      </c>
      <c r="J640" t="n">
        <v>39</v>
      </c>
      <c r="K640" t="n">
        <v>0</v>
      </c>
      <c r="L640" t="n">
        <v>0</v>
      </c>
      <c r="M640" t="n">
        <v>2</v>
      </c>
      <c r="N640">
        <f>SUM(J640:M640)</f>
        <v/>
      </c>
      <c r="O640" s="4">
        <f>SUM(J640:L640)/SUM(J640:M640)</f>
        <v/>
      </c>
      <c r="P640" s="5">
        <f>MAX(J640:L640)/SUM(J640:L640)</f>
        <v/>
      </c>
    </row>
    <row r="641">
      <c r="A641" t="inlineStr">
        <is>
          <t>Segundo año</t>
        </is>
      </c>
      <c r="B641" t="inlineStr">
        <is>
          <t>Tercer periodo</t>
        </is>
      </c>
      <c r="C641" t="n">
        <v>48</v>
      </c>
      <c r="D641" t="n">
        <v>639</v>
      </c>
      <c r="E641" s="3" t="n">
        <v>46170</v>
      </c>
      <c r="F641" t="inlineStr">
        <is>
          <t>Punto de Acuerdo</t>
        </is>
      </c>
      <c r="G641" t="inlineStr">
        <is>
          <t>Acuerdo por el que se exhorta a la secretaría de salud del estado, para que gestione la firma de un convenio de colaboración con el instituto nacional de lenguas indígenas (inali), con el fin de capacitar en materia de lenguas, usos y costumbres a su personal médico y administrativo adscrito en las unidades médicas ubicadas en municipios con población indígena</t>
        </is>
      </c>
      <c r="H641" t="n">
        <v>6</v>
      </c>
      <c r="I641" t="inlineStr">
        <is>
          <t>Salud</t>
        </is>
      </c>
      <c r="J641" t="n">
        <v>39</v>
      </c>
      <c r="K641" t="n">
        <v>0</v>
      </c>
      <c r="L641" t="n">
        <v>0</v>
      </c>
      <c r="M641" t="n">
        <v>2</v>
      </c>
      <c r="N641">
        <f>SUM(J641:M641)</f>
        <v/>
      </c>
      <c r="O641" s="4">
        <f>SUM(J641:L641)/SUM(J641:M641)</f>
        <v/>
      </c>
      <c r="P641" s="5">
        <f>MAX(J641:L641)/SUM(J641:L641)</f>
        <v/>
      </c>
    </row>
    <row r="642">
      <c r="A642" t="inlineStr">
        <is>
          <t>Segundo año</t>
        </is>
      </c>
      <c r="B642" t="inlineStr">
        <is>
          <t>Tercer periodo</t>
        </is>
      </c>
      <c r="C642" t="n">
        <v>49</v>
      </c>
      <c r="D642" t="n">
        <v>640</v>
      </c>
      <c r="E642" s="3" t="n">
        <v>46170</v>
      </c>
      <c r="F642" t="inlineStr">
        <is>
          <t>Punto de Acuerdo</t>
        </is>
      </c>
      <c r="G642" t="inlineStr">
        <is>
          <t>Acuerdo por el que se exhorta a la secretaría de medio ambiente, desarrollo sustentable y ordenamiento territorial, y a los doscientos doce ayuntamientos y cinco concejos municipales del estado, para que en el ámbito de su competencia adecuen sus acciones en materia ambiental y den cumplimiento a los compromisos y objetivos establecidos en la contribución determinada a nivel nacional, “ndc 3.0 méxico por el clima”</t>
        </is>
      </c>
      <c r="H642" t="n">
        <v>5</v>
      </c>
      <c r="I642" t="inlineStr">
        <is>
          <t>Medio Ambiente</t>
        </is>
      </c>
      <c r="J642" t="n">
        <v>39</v>
      </c>
      <c r="K642" t="n">
        <v>0</v>
      </c>
      <c r="L642" t="n">
        <v>0</v>
      </c>
      <c r="M642" t="n">
        <v>2</v>
      </c>
      <c r="N642">
        <f>SUM(J642:M642)</f>
        <v/>
      </c>
      <c r="O642" s="4">
        <f>SUM(J642:L642)/SUM(J642:M642)</f>
        <v/>
      </c>
      <c r="P642" s="5">
        <f>MAX(J642:L642)/SUM(J642:L642)</f>
        <v/>
      </c>
    </row>
    <row r="643">
      <c r="A643" t="inlineStr">
        <is>
          <t>Segundo año</t>
        </is>
      </c>
      <c r="B643" t="inlineStr">
        <is>
          <t>Tercer periodo</t>
        </is>
      </c>
      <c r="C643" t="n">
        <v>50</v>
      </c>
      <c r="D643" t="n">
        <v>641</v>
      </c>
      <c r="E643" s="3" t="n">
        <v>46170</v>
      </c>
      <c r="F643" t="inlineStr">
        <is>
          <t>Punto de Acuerdo</t>
        </is>
      </c>
      <c r="G643" t="inlineStr">
        <is>
          <t>Acuerdo por el que se exhorta al comité coordinador del sistema estatal anticorrupción, para que garantice el establecimiento, integración, conexión y adecuado funcionamiento de la plataforma digital estatal a que hacen referencia las fracciones xiii y xiv del artículo 9, y el artículo 49 de la ley del sistema anticorrupción del estado de</t>
        </is>
      </c>
      <c r="H643" t="n">
        <v>10</v>
      </c>
      <c r="I643" t="inlineStr">
        <is>
          <t>Transparencia y Rendición de Cuentas</t>
        </is>
      </c>
      <c r="J643" t="n">
        <v>39</v>
      </c>
      <c r="K643" t="n">
        <v>0</v>
      </c>
      <c r="L643" t="n">
        <v>0</v>
      </c>
      <c r="M643" t="n">
        <v>2</v>
      </c>
      <c r="N643">
        <f>SUM(J643:M643)</f>
        <v/>
      </c>
      <c r="O643" s="4">
        <f>SUM(J643:L643)/SUM(J643:M643)</f>
        <v/>
      </c>
      <c r="P643" s="5">
        <f>MAX(J643:L643)/SUM(J643:L643)</f>
        <v/>
      </c>
    </row>
    <row r="644">
      <c r="A644" t="inlineStr">
        <is>
          <t>Segundo año</t>
        </is>
      </c>
      <c r="B644" t="inlineStr">
        <is>
          <t>Tercer periodo</t>
        </is>
      </c>
      <c r="C644" t="n">
        <v>51</v>
      </c>
      <c r="D644" t="n">
        <v>642</v>
      </c>
      <c r="E644" s="3" t="n">
        <v>46170</v>
      </c>
      <c r="F644" t="inlineStr">
        <is>
          <t>Punto de Acuerdo</t>
        </is>
      </c>
      <c r="G644" t="inlineStr">
        <is>
          <t>Acuerdo por el que se exhorta a los doscientos doce ayuntamientos y cinco concejos municipales del estado, para que realicen una revisión y diagnóstico de la señalética vial y de movilidad, con el fin de identificar y atender aquella infraestructura que requiera reparación o mantenimiento</t>
        </is>
      </c>
      <c r="H644" t="n">
        <v>11</v>
      </c>
      <c r="I644" t="inlineStr">
        <is>
          <t>Infraestructura, Movilidad y Transporte</t>
        </is>
      </c>
      <c r="J644" t="n">
        <v>39</v>
      </c>
      <c r="K644" t="n">
        <v>0</v>
      </c>
      <c r="L644" t="n">
        <v>0</v>
      </c>
      <c r="M644" t="n">
        <v>2</v>
      </c>
      <c r="N644">
        <f>SUM(J644:M644)</f>
        <v/>
      </c>
      <c r="O644" s="4">
        <f>SUM(J644:L644)/SUM(J644:M644)</f>
        <v/>
      </c>
      <c r="P644" s="5">
        <f>MAX(J644:L644)/SUM(J644:L644)</f>
        <v/>
      </c>
    </row>
    <row r="645">
      <c r="A645" t="inlineStr">
        <is>
          <t>Segundo año</t>
        </is>
      </c>
      <c r="B645" t="inlineStr">
        <is>
          <t>Tercer periodo</t>
        </is>
      </c>
      <c r="C645" t="n">
        <v>52</v>
      </c>
      <c r="D645" t="n">
        <v>643</v>
      </c>
      <c r="E645" s="3" t="n">
        <v>46170</v>
      </c>
      <c r="F645" t="inlineStr">
        <is>
          <t>Punto de Acuerdo</t>
        </is>
      </c>
      <c r="G645" t="inlineStr">
        <is>
          <t>Acuerdo por el que se exhorta a la secretaría de movilidad y transporte y a los doscientos doce ayuntamientos y cinco concejos municipales del estado, para que de manera coordinada y en el ámbito de su respectiva competencia, implementen campañas de información y concientización en materia de educación y seguridad vial</t>
        </is>
      </c>
      <c r="H645" t="n">
        <v>11</v>
      </c>
      <c r="I645" t="inlineStr">
        <is>
          <t>Infraestructura, Movilidad y Transporte</t>
        </is>
      </c>
      <c r="J645" t="n">
        <v>39</v>
      </c>
      <c r="K645" t="n">
        <v>0</v>
      </c>
      <c r="L645" t="n">
        <v>0</v>
      </c>
      <c r="M645" t="n">
        <v>2</v>
      </c>
      <c r="N645">
        <f>SUM(J645:M645)</f>
        <v/>
      </c>
      <c r="O645" s="4">
        <f>SUM(J645:L645)/SUM(J645:M645)</f>
        <v/>
      </c>
      <c r="P645" s="5">
        <f>MAX(J645:L645)/SUM(J645:L645)</f>
        <v/>
      </c>
    </row>
    <row r="646">
      <c r="A646" t="inlineStr">
        <is>
          <t>Segundo año</t>
        </is>
      </c>
      <c r="B646" t="inlineStr">
        <is>
          <t>Tercer periodo</t>
        </is>
      </c>
      <c r="C646" t="n">
        <v>53</v>
      </c>
      <c r="D646" t="n">
        <v>644</v>
      </c>
      <c r="E646" s="3" t="n">
        <v>46170</v>
      </c>
      <c r="F646" t="inlineStr">
        <is>
          <t>Punto de Acuerdo</t>
        </is>
      </c>
      <c r="G646" t="inlineStr">
        <is>
          <t>Acuerdo por el que se exhorta a los doscientos doce ayuntamientos y cinco concejos municipales del estado para que, en ejercicio de sus facultades recaudatorias, se apeguen estrictamente a lo previsto en sus respectivas leyes de ingresos municipales vigentes, absteniéndose de realizar cobros por conceptos no determinados</t>
        </is>
      </c>
      <c r="H646" t="n">
        <v>7</v>
      </c>
      <c r="I646" t="inlineStr">
        <is>
          <t>Impuestos, Finanzas Públicas, Patrimonio estatal y municipal</t>
        </is>
      </c>
      <c r="J646" t="n">
        <v>39</v>
      </c>
      <c r="K646" t="n">
        <v>0</v>
      </c>
      <c r="L646" t="n">
        <v>0</v>
      </c>
      <c r="M646" t="n">
        <v>2</v>
      </c>
      <c r="N646">
        <f>SUM(J646:M646)</f>
        <v/>
      </c>
      <c r="O646" s="4">
        <f>SUM(J646:L646)/SUM(J646:M646)</f>
        <v/>
      </c>
      <c r="P646" s="5">
        <f>MAX(J646:L646)/SUM(J646:L646)</f>
        <v/>
      </c>
    </row>
    <row r="647">
      <c r="A647" t="inlineStr">
        <is>
          <t>Segundo año</t>
        </is>
      </c>
      <c r="B647" t="inlineStr">
        <is>
          <t>Tercer periodo</t>
        </is>
      </c>
      <c r="C647" t="n">
        <v>54</v>
      </c>
      <c r="D647" t="n">
        <v>645</v>
      </c>
      <c r="E647" s="3" t="n">
        <v>46170</v>
      </c>
      <c r="F647" t="inlineStr">
        <is>
          <t>Punto de Acuerdo</t>
        </is>
      </c>
      <c r="G647" t="inlineStr">
        <is>
          <t>Acuerdo por el cual se prorroga la sesión</t>
        </is>
      </c>
      <c r="H647" t="n">
        <v>19</v>
      </c>
      <c r="I647" t="inlineStr">
        <is>
          <t>Internos del Congreso</t>
        </is>
      </c>
      <c r="J647" t="n">
        <v>41</v>
      </c>
      <c r="K647" t="n">
        <v>0</v>
      </c>
      <c r="L647" t="n">
        <v>0</v>
      </c>
      <c r="M647" t="n">
        <v>0</v>
      </c>
      <c r="N647">
        <f>SUM(J647:M647)</f>
        <v/>
      </c>
      <c r="O647" s="4">
        <f>SUM(J647:L647)/SUM(J647:M647)</f>
        <v/>
      </c>
      <c r="P647" s="5">
        <f>MAX(J647:L647)/SUM(J647:L647)</f>
        <v/>
      </c>
    </row>
    <row r="648">
      <c r="A648" t="inlineStr">
        <is>
          <t>Segundo año</t>
        </is>
      </c>
      <c r="B648" t="inlineStr">
        <is>
          <t>Tercer periodo</t>
        </is>
      </c>
      <c r="C648" t="n">
        <v>55</v>
      </c>
      <c r="D648" t="n">
        <v>646</v>
      </c>
      <c r="E648" s="3" t="n">
        <v>46171</v>
      </c>
      <c r="F648" t="inlineStr">
        <is>
          <t>Iniciativa</t>
        </is>
      </c>
      <c r="G648" t="inlineStr">
        <is>
          <t>Dictamen con minuta de decreto por el cual se reforman y adicionan diversas disposiciones de la Constitución Política de los Estados Unidos Mexicanos, en materia de reforma del Poder Judicial</t>
        </is>
      </c>
      <c r="H648" t="n">
        <v>14</v>
      </c>
      <c r="I648" t="inlineStr">
        <is>
          <t>Justicia y Estado de Derecho</t>
        </is>
      </c>
      <c r="J648" t="n">
        <v>28</v>
      </c>
      <c r="K648" t="n">
        <v>7</v>
      </c>
      <c r="L648" t="n">
        <v>0</v>
      </c>
      <c r="M648" t="n">
        <v>6</v>
      </c>
      <c r="N648">
        <f>SUM(J648:M648)</f>
        <v/>
      </c>
      <c r="O648" s="4">
        <f>SUM(J648:L648)/SUM(J648:M648)</f>
        <v/>
      </c>
      <c r="P648" s="5">
        <f>MAX(J648:L648)/SUM(J648:L648)</f>
        <v/>
      </c>
    </row>
    <row r="649">
      <c r="A649" t="inlineStr">
        <is>
          <t>Segundo año</t>
        </is>
      </c>
      <c r="B649" t="inlineStr">
        <is>
          <t>Tercer periodo</t>
        </is>
      </c>
      <c r="C649" t="n">
        <v>56</v>
      </c>
      <c r="D649" t="n">
        <v>647</v>
      </c>
      <c r="E649" s="3" t="n">
        <v>46171</v>
      </c>
      <c r="F649" t="inlineStr">
        <is>
          <t>Iniciativa</t>
        </is>
      </c>
      <c r="G649" t="inlineStr">
        <is>
          <t>Dictamen con minuta de decreto por el cual se adiciona un inciso d) al párrafo tercero de la base VI del artículo 41 de la Constitución Política de los Estados Unidos Mexicanos, para introducir una nueva causal de nulidad de elecciones por intervención extranjera</t>
        </is>
      </c>
      <c r="H649" t="n">
        <v>4</v>
      </c>
      <c r="I649" t="inlineStr">
        <is>
          <t>Partidos Políticos y Elecciones</t>
        </is>
      </c>
      <c r="J649" t="n">
        <v>28</v>
      </c>
      <c r="K649" t="n">
        <v>7</v>
      </c>
      <c r="L649" t="n">
        <v>0</v>
      </c>
      <c r="M649" t="n">
        <v>6</v>
      </c>
      <c r="N649">
        <f>SUM(J649:M649)</f>
        <v/>
      </c>
      <c r="O649" s="4">
        <f>SUM(J649:L649)/SUM(J649:M649)</f>
        <v/>
      </c>
      <c r="P649" s="5">
        <f>MAX(J649:L649)/SUM(J649:L649)</f>
        <v/>
      </c>
    </row>
    <row r="650">
      <c r="A650" t="inlineStr">
        <is>
          <t>Segundo año</t>
        </is>
      </c>
      <c r="B650" t="inlineStr">
        <is>
          <t>Tercer periodo</t>
        </is>
      </c>
      <c r="C650" t="n">
        <v>57</v>
      </c>
      <c r="D650" t="n">
        <v>648</v>
      </c>
      <c r="E650" s="3" t="n">
        <v>46177</v>
      </c>
      <c r="F650" t="inlineStr">
        <is>
          <t>Iniciativa</t>
        </is>
      </c>
      <c r="G650" t="inlineStr">
        <is>
          <t>Dictamen con minuta de decreto que presenta la Comisión de Cultura de la Sexagésima Segunda Legislatura del Honorable Congreso del Estado</t>
        </is>
      </c>
      <c r="H650" t="n">
        <v>8</v>
      </c>
      <c r="I650" t="inlineStr">
        <is>
          <t>Educación y Cultura</t>
        </is>
      </c>
      <c r="J650" t="n">
        <v>39</v>
      </c>
      <c r="K650" t="n">
        <v>0</v>
      </c>
      <c r="L650" t="n">
        <v>0</v>
      </c>
      <c r="M650" t="n">
        <v>2</v>
      </c>
      <c r="N650">
        <f>SUM(J650:M650)</f>
        <v/>
      </c>
      <c r="O650" s="4">
        <f>SUM(J650:L650)/SUM(J650:M650)</f>
        <v/>
      </c>
      <c r="P650" s="5">
        <f>MAX(J650:L650)/SUM(J650:L650)</f>
        <v/>
      </c>
    </row>
    <row r="651">
      <c r="A651" t="inlineStr">
        <is>
          <t>Segundo año</t>
        </is>
      </c>
      <c r="B651" t="inlineStr">
        <is>
          <t>Tercer periodo</t>
        </is>
      </c>
      <c r="C651" t="n">
        <v>58</v>
      </c>
      <c r="D651" t="n">
        <v>649</v>
      </c>
      <c r="E651" s="3" t="n">
        <v>46177</v>
      </c>
      <c r="F651" t="inlineStr">
        <is>
          <t>Iniciativa</t>
        </is>
      </c>
      <c r="G651" t="inlineStr">
        <is>
          <t>Dictamen con minuta de decreto que presenta la Comisión de Educación de la Sexagésima Segunda Legislatura del Honorable Congreso del Estado</t>
        </is>
      </c>
      <c r="H651" t="n">
        <v>8</v>
      </c>
      <c r="I651" t="inlineStr">
        <is>
          <t>Educación y Cultura</t>
        </is>
      </c>
      <c r="J651" t="n">
        <v>39</v>
      </c>
      <c r="K651" t="n">
        <v>0</v>
      </c>
      <c r="L651" t="n">
        <v>0</v>
      </c>
      <c r="M651" t="n">
        <v>2</v>
      </c>
      <c r="N651">
        <f>SUM(J651:M651)</f>
        <v/>
      </c>
      <c r="O651" s="4">
        <f>SUM(J651:L651)/SUM(J651:M651)</f>
        <v/>
      </c>
      <c r="P651" s="5">
        <f>MAX(J651:L651)/SUM(J651:L651)</f>
        <v/>
      </c>
    </row>
    <row r="652">
      <c r="A652" t="inlineStr">
        <is>
          <t>Segundo año</t>
        </is>
      </c>
      <c r="B652" t="inlineStr">
        <is>
          <t>Tercer periodo</t>
        </is>
      </c>
      <c r="C652" t="n">
        <v>59</v>
      </c>
      <c r="D652" t="n">
        <v>650</v>
      </c>
      <c r="E652" s="3" t="n">
        <v>46177</v>
      </c>
      <c r="F652" t="inlineStr">
        <is>
          <t>Punto de Acuerdo</t>
        </is>
      </c>
      <c r="G652" t="inlineStr">
        <is>
          <t>Acuerdo por el que se exhorta a la Secretaría de Educación Pública del Estado</t>
        </is>
      </c>
      <c r="H652" t="n">
        <v>8</v>
      </c>
      <c r="I652" t="inlineStr">
        <is>
          <t>Educación y Cultura</t>
        </is>
      </c>
      <c r="J652" t="n">
        <v>39</v>
      </c>
      <c r="K652" t="n">
        <v>0</v>
      </c>
      <c r="L652" t="n">
        <v>0</v>
      </c>
      <c r="M652" t="n">
        <v>2</v>
      </c>
      <c r="N652">
        <f>SUM(J652:M652)</f>
        <v/>
      </c>
      <c r="O652" s="4">
        <f>SUM(J652:L652)/SUM(J652:M652)</f>
        <v/>
      </c>
      <c r="P652" s="5">
        <f>MAX(J652:L652)/SUM(J652:L652)</f>
        <v/>
      </c>
    </row>
    <row r="653">
      <c r="A653" t="inlineStr">
        <is>
          <t>Segundo año</t>
        </is>
      </c>
      <c r="B653" t="inlineStr">
        <is>
          <t>Tercer periodo</t>
        </is>
      </c>
      <c r="C653" t="n">
        <v>60</v>
      </c>
      <c r="D653" t="n">
        <v>651</v>
      </c>
      <c r="E653" s="3" t="n">
        <v>46177</v>
      </c>
      <c r="F653" t="inlineStr">
        <is>
          <t>Punto de Acuerdo</t>
        </is>
      </c>
      <c r="G653" t="inlineStr">
        <is>
          <t>Acuerdo por el que se exhorta a la Comisión Nacional de Vivienda</t>
        </is>
      </c>
      <c r="H653" t="n">
        <v>2</v>
      </c>
      <c r="I653" t="inlineStr">
        <is>
          <t>Pobreza y Política Social</t>
        </is>
      </c>
      <c r="J653" t="n">
        <v>39</v>
      </c>
      <c r="K653" t="n">
        <v>0</v>
      </c>
      <c r="L653" t="n">
        <v>0</v>
      </c>
      <c r="M653" t="n">
        <v>2</v>
      </c>
      <c r="N653">
        <f>SUM(J653:M653)</f>
        <v/>
      </c>
      <c r="O653" s="4">
        <f>SUM(J653:L653)/SUM(J653:M653)</f>
        <v/>
      </c>
      <c r="P653" s="5">
        <f>MAX(J653:L653)/SUM(J653:L653)</f>
        <v/>
      </c>
    </row>
    <row r="654">
      <c r="A654" t="inlineStr">
        <is>
          <t>Segundo año</t>
        </is>
      </c>
      <c r="B654" t="inlineStr">
        <is>
          <t>Tercer periodo</t>
        </is>
      </c>
      <c r="C654" t="n">
        <v>61</v>
      </c>
      <c r="D654" t="n">
        <v>652</v>
      </c>
      <c r="E654" s="3" t="n">
        <v>46177</v>
      </c>
      <c r="F654" t="inlineStr">
        <is>
          <t>Punto de Acuerdo</t>
        </is>
      </c>
      <c r="G654" t="inlineStr">
        <is>
          <t>Acuerdo por el cual se somete a consideración del pleno la propuesta para dispensar los trámites de una iniciativa</t>
        </is>
      </c>
      <c r="H654" t="n">
        <v>18</v>
      </c>
      <c r="I654" t="inlineStr">
        <is>
          <t>Administración Pública</t>
        </is>
      </c>
      <c r="J654" t="n">
        <v>5</v>
      </c>
      <c r="K654" t="n">
        <v>22</v>
      </c>
      <c r="L654" t="n">
        <v>0</v>
      </c>
      <c r="M654" t="n">
        <v>14</v>
      </c>
      <c r="N654">
        <f>SUM(J654:M654)</f>
        <v/>
      </c>
      <c r="O654" s="4">
        <f>SUM(J654:L654)/SUM(J654:M654)</f>
        <v/>
      </c>
      <c r="P654" s="5">
        <f>MAX(J654:L654)/SUM(J654:L654)</f>
        <v/>
      </c>
    </row>
    <row r="655">
      <c r="A655" t="inlineStr">
        <is>
          <t>Segundo año</t>
        </is>
      </c>
      <c r="B655" t="inlineStr">
        <is>
          <t>Tercer periodo</t>
        </is>
      </c>
      <c r="C655" t="n">
        <v>62</v>
      </c>
      <c r="D655" t="n">
        <v>653</v>
      </c>
      <c r="E655" s="3" t="n">
        <v>46184</v>
      </c>
      <c r="F655" t="inlineStr">
        <is>
          <t>Iniciativa</t>
        </is>
      </c>
      <c r="G655" t="inlineStr">
        <is>
          <t>Dictamen con minuta de decreto por el cual se reforman las fracciones XVI y XVII del artículo 1; y se adiciona la fracción XVIII al artículo 1; ambos de la Ley de Fomento a la Investigación Científica, Tecnológica, Humanística y a la Innovación para el estado de Puebla</t>
        </is>
      </c>
      <c r="H655" t="n">
        <v>1</v>
      </c>
      <c r="I655" t="inlineStr">
        <is>
          <t>Economía, Comercio y Competitividad</t>
        </is>
      </c>
      <c r="J655" t="n">
        <v>35</v>
      </c>
      <c r="K655" t="n">
        <v>0</v>
      </c>
      <c r="L655" t="n">
        <v>0</v>
      </c>
      <c r="M655" t="n">
        <v>0</v>
      </c>
      <c r="N655">
        <f>SUM(J655:M655)</f>
        <v/>
      </c>
      <c r="O655" s="4">
        <f>SUM(J655:L655)/SUM(J655:M655)</f>
        <v/>
      </c>
      <c r="P655" s="5">
        <f>MAX(J655:L655)/SUM(J655:L655)</f>
        <v/>
      </c>
    </row>
    <row r="656">
      <c r="A656" t="inlineStr">
        <is>
          <t>Segundo año</t>
        </is>
      </c>
      <c r="B656" t="inlineStr">
        <is>
          <t>Tercer periodo</t>
        </is>
      </c>
      <c r="C656" t="n">
        <v>63</v>
      </c>
      <c r="D656" t="n">
        <v>654</v>
      </c>
      <c r="E656" s="3" t="n">
        <v>46184</v>
      </c>
      <c r="F656" t="inlineStr">
        <is>
          <t>Iniciativa</t>
        </is>
      </c>
      <c r="G656" t="inlineStr">
        <is>
          <t>Dictamen con minuta de decreto por el cual se adiciona el artículo 25 bis a la Ley para el Acceso de las Mujeres a una Vida Libre de Violencia del estado de Puebla</t>
        </is>
      </c>
      <c r="H656" t="n">
        <v>20</v>
      </c>
      <c r="I656" t="inlineStr">
        <is>
          <t>Justicia y Estado de Derecho en temas de Mujeres</t>
        </is>
      </c>
      <c r="J656" t="n">
        <v>37</v>
      </c>
      <c r="K656" t="n">
        <v>0</v>
      </c>
      <c r="L656" t="n">
        <v>0</v>
      </c>
      <c r="M656" t="n">
        <v>0</v>
      </c>
      <c r="N656">
        <f>SUM(J656:M656)</f>
        <v/>
      </c>
      <c r="O656" s="4">
        <f>SUM(J656:L656)/SUM(J656:M656)</f>
        <v/>
      </c>
      <c r="P656" s="5">
        <f>MAX(J656:L656)/SUM(J656:L656)</f>
        <v/>
      </c>
    </row>
    <row r="657">
      <c r="A657" t="inlineStr">
        <is>
          <t>Segundo año</t>
        </is>
      </c>
      <c r="B657" t="inlineStr">
        <is>
          <t>Tercer periodo</t>
        </is>
      </c>
      <c r="C657" t="n">
        <v>64</v>
      </c>
      <c r="D657" t="n">
        <v>655</v>
      </c>
      <c r="E657" s="3" t="n">
        <v>46184</v>
      </c>
      <c r="F657" t="inlineStr">
        <is>
          <t>Punto de Acuerdo</t>
        </is>
      </c>
      <c r="G657" t="inlineStr">
        <is>
          <t>Acuerdo por el que se exhorta a los sistemas estatales y municipales DIF a fortalecer la difusión de acciones y mecanismos para personas adultas mayores</t>
        </is>
      </c>
      <c r="H657" t="n">
        <v>2</v>
      </c>
      <c r="I657" t="inlineStr">
        <is>
          <t>Pobreza y Política Social</t>
        </is>
      </c>
      <c r="J657" t="n">
        <v>38</v>
      </c>
      <c r="K657" t="n">
        <v>0</v>
      </c>
      <c r="L657" t="n">
        <v>0</v>
      </c>
      <c r="M657" t="n">
        <v>0</v>
      </c>
      <c r="N657">
        <f>SUM(J657:M657)</f>
        <v/>
      </c>
      <c r="O657" s="4">
        <f>SUM(J657:L657)/SUM(J657:M657)</f>
        <v/>
      </c>
      <c r="P657" s="5">
        <f>MAX(J657:L657)/SUM(J657:L657)</f>
        <v/>
      </c>
    </row>
    <row r="658">
      <c r="A658" t="inlineStr">
        <is>
          <t>Segundo año</t>
        </is>
      </c>
      <c r="B658" t="inlineStr">
        <is>
          <t>Tercer periodo</t>
        </is>
      </c>
      <c r="C658" t="n">
        <v>65</v>
      </c>
      <c r="D658" t="n">
        <v>656</v>
      </c>
      <c r="E658" s="3" t="n">
        <v>46191</v>
      </c>
      <c r="F658" t="inlineStr">
        <is>
          <t>Iniciativa</t>
        </is>
      </c>
      <c r="G658" t="inlineStr">
        <is>
          <t>Dictamen con minuta de decreto por el cual se reforman y adicionan diversas disposiciones del decreto que crea el organismo público descentralizado denominado Sistema Operador de los Servicios de Agua Potable y Alcantarillado del municipio</t>
        </is>
      </c>
      <c r="H658" t="n">
        <v>18</v>
      </c>
      <c r="I658" t="inlineStr">
        <is>
          <t>Administración Pública</t>
        </is>
      </c>
      <c r="J658" t="n">
        <v>27</v>
      </c>
      <c r="K658" t="n">
        <v>0</v>
      </c>
      <c r="L658" t="n">
        <v>6</v>
      </c>
      <c r="M658" t="n">
        <v>8</v>
      </c>
      <c r="N658">
        <f>SUM(J658:M658)</f>
        <v/>
      </c>
      <c r="O658" s="4">
        <f>SUM(J658:L658)/SUM(J658:M658)</f>
        <v/>
      </c>
      <c r="P658" s="5">
        <f>MAX(J658:L658)/SUM(J658:L658)</f>
        <v/>
      </c>
    </row>
    <row r="659">
      <c r="A659" t="inlineStr">
        <is>
          <t>Segundo año</t>
        </is>
      </c>
      <c r="B659" t="inlineStr">
        <is>
          <t>Tercer periodo</t>
        </is>
      </c>
      <c r="C659" t="n">
        <v>66</v>
      </c>
      <c r="D659" t="n">
        <v>657</v>
      </c>
      <c r="E659" s="3" t="n">
        <v>46198</v>
      </c>
      <c r="F659" t="inlineStr">
        <is>
          <t>Iniciativa</t>
        </is>
      </c>
      <c r="G659" t="inlineStr">
        <is>
          <t>Dictamen con minuta de decreto por el cual se reforman y derogan diversas disposiciones de la Ley de Transparencia y Acceso a la Información Pública del Estado de ; y de la Ley de Protección de Datos Personales en Posesión de Sujetos Obligados del Estado de</t>
        </is>
      </c>
      <c r="H659" t="n">
        <v>10</v>
      </c>
      <c r="I659" t="inlineStr">
        <is>
          <t>Transparencia y Rendición de Cuentas</t>
        </is>
      </c>
      <c r="J659" t="n">
        <v>29</v>
      </c>
      <c r="K659" t="n">
        <v>6</v>
      </c>
      <c r="L659" t="n">
        <v>2</v>
      </c>
      <c r="M659" t="n">
        <v>4</v>
      </c>
      <c r="N659">
        <f>SUM(J659:M659)</f>
        <v/>
      </c>
      <c r="O659" s="4">
        <f>SUM(J659:L659)/SUM(J659:M659)</f>
        <v/>
      </c>
      <c r="P659" s="5">
        <f>MAX(J659:L659)/SUM(J659:L659)</f>
        <v/>
      </c>
    </row>
    <row r="660">
      <c r="A660" t="inlineStr">
        <is>
          <t>Segundo año</t>
        </is>
      </c>
      <c r="B660" t="inlineStr">
        <is>
          <t>Tercer periodo</t>
        </is>
      </c>
      <c r="C660" t="n">
        <v>67</v>
      </c>
      <c r="D660" t="n">
        <v>658</v>
      </c>
      <c r="E660" s="3" t="n">
        <v>46198</v>
      </c>
      <c r="F660" t="inlineStr">
        <is>
          <t>Iniciativa</t>
        </is>
      </c>
      <c r="G660" t="inlineStr">
        <is>
          <t>Dictamen con minuta de decreto por el cual se reforman y adicionan diversas disposiciones de la Ley de Desarrollo Social para el Estado de</t>
        </is>
      </c>
      <c r="H660" t="n">
        <v>2</v>
      </c>
      <c r="I660" t="inlineStr">
        <is>
          <t>Pobreza y Política Social</t>
        </is>
      </c>
      <c r="J660" t="n">
        <v>37</v>
      </c>
      <c r="K660" t="n">
        <v>0</v>
      </c>
      <c r="L660" t="n">
        <v>0</v>
      </c>
      <c r="M660" t="n">
        <v>0</v>
      </c>
      <c r="N660">
        <f>SUM(J660:M660)</f>
        <v/>
      </c>
      <c r="O660" s="4">
        <f>SUM(J660:L660)/SUM(J660:M660)</f>
        <v/>
      </c>
      <c r="P660" s="5">
        <f>MAX(J660:L660)/SUM(J660:L660)</f>
        <v/>
      </c>
    </row>
    <row r="661">
      <c r="A661" t="inlineStr">
        <is>
          <t>Segundo año</t>
        </is>
      </c>
      <c r="B661" t="inlineStr">
        <is>
          <t>Tercer periodo</t>
        </is>
      </c>
      <c r="C661" t="n">
        <v>68</v>
      </c>
      <c r="D661" t="n">
        <v>659</v>
      </c>
      <c r="E661" s="3" t="n">
        <v>46198</v>
      </c>
      <c r="F661" t="inlineStr">
        <is>
          <t>Iniciativa</t>
        </is>
      </c>
      <c r="G661" t="inlineStr">
        <is>
          <t>Dictamen con minuta de decreto por el cual se reforman las fracciones I, II, III, IV, VIII y IX del artículo 28; y se adicionan las fracciones X y XI al artículo 28, todas de la Ley Estatal del Deporte</t>
        </is>
      </c>
      <c r="H661" t="n">
        <v>8</v>
      </c>
      <c r="I661" t="inlineStr">
        <is>
          <t>Educación y Cultura</t>
        </is>
      </c>
      <c r="J661" t="n">
        <v>37</v>
      </c>
      <c r="K661" t="n">
        <v>0</v>
      </c>
      <c r="L661" t="n">
        <v>0</v>
      </c>
      <c r="M661" t="n">
        <v>0</v>
      </c>
      <c r="N661">
        <f>SUM(J661:M661)</f>
        <v/>
      </c>
      <c r="O661" s="4">
        <f>SUM(J661:L661)/SUM(J661:M661)</f>
        <v/>
      </c>
      <c r="P661" s="5">
        <f>MAX(J661:L661)/SUM(J661:L661)</f>
        <v/>
      </c>
    </row>
    <row r="662">
      <c r="A662" t="inlineStr">
        <is>
          <t>Segundo año</t>
        </is>
      </c>
      <c r="B662" t="inlineStr">
        <is>
          <t>Tercer periodo</t>
        </is>
      </c>
      <c r="C662" t="n">
        <v>69</v>
      </c>
      <c r="D662" t="n">
        <v>660</v>
      </c>
      <c r="E662" s="3" t="n">
        <v>46198</v>
      </c>
      <c r="F662" t="inlineStr">
        <is>
          <t>Punto de Acuerdo</t>
        </is>
      </c>
      <c r="G662" t="inlineStr">
        <is>
          <t>Acuerdo por el que se exhorta a la Secretaría de Arte y Cultura; a la Secretaría de Desarrollo Económico y Trabajo; y a la Secretaría de Desarrollo Turístico</t>
        </is>
      </c>
      <c r="H662" t="n">
        <v>1</v>
      </c>
      <c r="I662" t="inlineStr">
        <is>
          <t>Economía, Comercio y Competitividad</t>
        </is>
      </c>
      <c r="J662" t="n">
        <v>37</v>
      </c>
      <c r="K662" t="n">
        <v>0</v>
      </c>
      <c r="L662" t="n">
        <v>0</v>
      </c>
      <c r="M662" t="n">
        <v>0</v>
      </c>
      <c r="N662">
        <f>SUM(J662:M662)</f>
        <v/>
      </c>
      <c r="O662" s="4">
        <f>SUM(J662:L662)/SUM(J662:M662)</f>
        <v/>
      </c>
      <c r="P662" s="5">
        <f>MAX(J662:L662)/SUM(J662:L662)</f>
        <v/>
      </c>
    </row>
    <row r="663">
      <c r="A663" t="inlineStr">
        <is>
          <t>Segundo año</t>
        </is>
      </c>
      <c r="B663" t="inlineStr">
        <is>
          <t>Tercer periodo</t>
        </is>
      </c>
      <c r="C663" t="n">
        <v>70</v>
      </c>
      <c r="D663" t="n">
        <v>661</v>
      </c>
      <c r="E663" s="3" t="n">
        <v>46198</v>
      </c>
      <c r="F663" t="inlineStr">
        <is>
          <t>Punto de Acuerdo</t>
        </is>
      </c>
      <c r="G663" t="inlineStr">
        <is>
          <t>Acuerdo por el que se exhorta a la Secretaría de Arte y Cultura, y a la Secretaría de Desarrollo Turístico</t>
        </is>
      </c>
      <c r="H663" t="n">
        <v>1</v>
      </c>
      <c r="I663" t="inlineStr">
        <is>
          <t>Economía, Comercio y Competitividad</t>
        </is>
      </c>
      <c r="J663" t="n">
        <v>37</v>
      </c>
      <c r="K663" t="n">
        <v>0</v>
      </c>
      <c r="L663" t="n">
        <v>0</v>
      </c>
      <c r="M663" t="n">
        <v>0</v>
      </c>
      <c r="N663">
        <f>SUM(J663:M663)</f>
        <v/>
      </c>
      <c r="O663" s="4">
        <f>SUM(J663:L663)/SUM(J663:M663)</f>
        <v/>
      </c>
      <c r="P663" s="5">
        <f>MAX(J663:L663)/SUM(J663:L663)</f>
        <v/>
      </c>
    </row>
    <row r="664">
      <c r="A664" t="inlineStr">
        <is>
          <t>Segundo año</t>
        </is>
      </c>
      <c r="B664" t="inlineStr">
        <is>
          <t>Tercer periodo</t>
        </is>
      </c>
      <c r="C664" t="n">
        <v>71</v>
      </c>
      <c r="D664" t="n">
        <v>662</v>
      </c>
      <c r="E664" s="3" t="n">
        <v>46198</v>
      </c>
      <c r="F664" t="inlineStr">
        <is>
          <t>Punto de Acuerdo</t>
        </is>
      </c>
      <c r="G664" t="inlineStr">
        <is>
          <t>Acuerdo por el que se exhorta a la Secretaría de Arte y Cultura, y a la Secretaría de Desarrollo Turístico</t>
        </is>
      </c>
      <c r="H664" t="n">
        <v>1</v>
      </c>
      <c r="I664" t="inlineStr">
        <is>
          <t>Economía, Comercio y Competitividad</t>
        </is>
      </c>
      <c r="J664" t="n">
        <v>37</v>
      </c>
      <c r="K664" t="n">
        <v>0</v>
      </c>
      <c r="L664" t="n">
        <v>0</v>
      </c>
      <c r="M664" t="n">
        <v>0</v>
      </c>
      <c r="N664">
        <f>SUM(J664:M664)</f>
        <v/>
      </c>
      <c r="O664" s="4">
        <f>SUM(J664:L664)/SUM(J664:M664)</f>
        <v/>
      </c>
      <c r="P664" s="5">
        <f>MAX(J664:L664)/SUM(J664:L664)</f>
        <v/>
      </c>
    </row>
    <row r="665">
      <c r="A665" t="inlineStr">
        <is>
          <t>Segundo año</t>
        </is>
      </c>
      <c r="B665" t="inlineStr">
        <is>
          <t>Tercer periodo</t>
        </is>
      </c>
      <c r="C665" t="n">
        <v>72</v>
      </c>
      <c r="D665" t="n">
        <v>663</v>
      </c>
      <c r="E665" s="3" t="n">
        <v>46198</v>
      </c>
      <c r="F665" t="inlineStr">
        <is>
          <t>Punto de Acuerdo</t>
        </is>
      </c>
      <c r="G665" t="inlineStr">
        <is>
          <t>Acuerdo por el que se exhorta a la Secretaría de Movilidad y Transporte del estado</t>
        </is>
      </c>
      <c r="H665" t="n">
        <v>11</v>
      </c>
      <c r="I665" t="inlineStr">
        <is>
          <t>Infraestructura, Movilidad y Transporte</t>
        </is>
      </c>
      <c r="J665" t="n">
        <v>37</v>
      </c>
      <c r="K665" t="n">
        <v>0</v>
      </c>
      <c r="L665" t="n">
        <v>0</v>
      </c>
      <c r="M665" t="n">
        <v>0</v>
      </c>
      <c r="N665">
        <f>SUM(J665:M665)</f>
        <v/>
      </c>
      <c r="O665" s="4">
        <f>SUM(J665:L665)/SUM(J665:M665)</f>
        <v/>
      </c>
      <c r="P665" s="5">
        <f>MAX(J665:L665)/SUM(J665:L665)</f>
        <v/>
      </c>
    </row>
    <row r="666">
      <c r="A666" t="inlineStr">
        <is>
          <t>Segundo año</t>
        </is>
      </c>
      <c r="B666" t="inlineStr">
        <is>
          <t>Tercer periodo</t>
        </is>
      </c>
      <c r="C666" t="n">
        <v>73</v>
      </c>
      <c r="D666" t="n">
        <v>664</v>
      </c>
      <c r="E666" s="3" t="n">
        <v>46198</v>
      </c>
      <c r="F666" t="inlineStr">
        <is>
          <t>Punto de Acuerdo</t>
        </is>
      </c>
      <c r="G666" t="inlineStr">
        <is>
          <t>Acuerdo por el que se exhorta a la Secretaría de Deporte y Juventud del estado</t>
        </is>
      </c>
      <c r="H666" t="n">
        <v>8</v>
      </c>
      <c r="I666" t="inlineStr">
        <is>
          <t>Educación y Cultura</t>
        </is>
      </c>
      <c r="J666" t="n">
        <v>37</v>
      </c>
      <c r="K666" t="n">
        <v>0</v>
      </c>
      <c r="L666" t="n">
        <v>0</v>
      </c>
      <c r="M666" t="n">
        <v>0</v>
      </c>
      <c r="N666">
        <f>SUM(J666:M666)</f>
        <v/>
      </c>
      <c r="O666" s="4">
        <f>SUM(J666:L666)/SUM(J666:M666)</f>
        <v/>
      </c>
      <c r="P666" s="5">
        <f>MAX(J666:L666)/SUM(J666:L666)</f>
        <v/>
      </c>
    </row>
    <row r="667">
      <c r="A667" t="inlineStr">
        <is>
          <t>Segundo año</t>
        </is>
      </c>
      <c r="B667" t="inlineStr">
        <is>
          <t>Tercer periodo</t>
        </is>
      </c>
      <c r="C667" t="n">
        <v>74</v>
      </c>
      <c r="D667" t="n">
        <v>665</v>
      </c>
      <c r="E667" s="3" t="n">
        <v>46198</v>
      </c>
      <c r="F667" t="inlineStr">
        <is>
          <t>Punto de Acuerdo</t>
        </is>
      </c>
      <c r="G667" t="inlineStr">
        <is>
          <t>Acuerdo por el que se exhorta a la Secretaría de Infraestructura del estado</t>
        </is>
      </c>
      <c r="H667" t="n">
        <v>11</v>
      </c>
      <c r="I667" t="inlineStr">
        <is>
          <t>Infraestructura, Movilidad y Transporte</t>
        </is>
      </c>
      <c r="J667" t="n">
        <v>37</v>
      </c>
      <c r="K667" t="n">
        <v>0</v>
      </c>
      <c r="L667" t="n">
        <v>0</v>
      </c>
      <c r="M667" t="n">
        <v>0</v>
      </c>
      <c r="N667">
        <f>SUM(J667:M667)</f>
        <v/>
      </c>
      <c r="O667" s="4">
        <f>SUM(J667:L667)/SUM(J667:M667)</f>
        <v/>
      </c>
      <c r="P667" s="5">
        <f>MAX(J667:L667)/SUM(J667:L667)</f>
        <v/>
      </c>
    </row>
    <row r="668">
      <c r="A668" t="inlineStr">
        <is>
          <t>Segundo año</t>
        </is>
      </c>
      <c r="B668" t="inlineStr">
        <is>
          <t>Tercer periodo</t>
        </is>
      </c>
      <c r="C668" t="n">
        <v>75</v>
      </c>
      <c r="D668" t="n">
        <v>666</v>
      </c>
      <c r="E668" s="3" t="n">
        <v>46198</v>
      </c>
      <c r="F668" t="inlineStr">
        <is>
          <t>Punto de Acuerdo</t>
        </is>
      </c>
      <c r="G668" t="inlineStr">
        <is>
          <t>Acuerdo por el que se exhorta al Centro SICT de la Secretaría de Infraestructura, Comunicaciones y Transportes federal</t>
        </is>
      </c>
      <c r="H668" t="n">
        <v>11</v>
      </c>
      <c r="I668" t="inlineStr">
        <is>
          <t>Infraestructura, Movilidad y Transporte</t>
        </is>
      </c>
      <c r="J668" t="n">
        <v>37</v>
      </c>
      <c r="K668" t="n">
        <v>0</v>
      </c>
      <c r="L668" t="n">
        <v>0</v>
      </c>
      <c r="M668" t="n">
        <v>0</v>
      </c>
      <c r="N668">
        <f>SUM(J668:M668)</f>
        <v/>
      </c>
      <c r="O668" s="4">
        <f>SUM(J668:L668)/SUM(J668:M668)</f>
        <v/>
      </c>
      <c r="P668" s="5">
        <f>MAX(J668:L668)/SUM(J668:L668)</f>
        <v/>
      </c>
    </row>
    <row r="669">
      <c r="A669" t="inlineStr">
        <is>
          <t>Segundo año</t>
        </is>
      </c>
      <c r="B669" t="inlineStr">
        <is>
          <t>Tercer periodo</t>
        </is>
      </c>
      <c r="C669" t="n">
        <v>76</v>
      </c>
      <c r="D669" t="n">
        <v>667</v>
      </c>
      <c r="E669" s="3" t="n">
        <v>46205</v>
      </c>
      <c r="F669" t="inlineStr">
        <is>
          <t>Punto de Acuerdo</t>
        </is>
      </c>
      <c r="G669" t="inlineStr">
        <is>
          <t>Acuerdo por el cual la comparecencia del titular de la coordinación de gabinete del gobierno del estado</t>
        </is>
      </c>
      <c r="H669" t="n">
        <v>18</v>
      </c>
      <c r="I669" t="inlineStr">
        <is>
          <t>Administración Pública</t>
        </is>
      </c>
      <c r="J669" t="n">
        <v>32</v>
      </c>
      <c r="K669" t="n">
        <v>0</v>
      </c>
      <c r="L669" t="n">
        <v>0</v>
      </c>
      <c r="M669" t="n">
        <v>9</v>
      </c>
      <c r="N669">
        <f>SUM(J669:M669)</f>
        <v/>
      </c>
      <c r="O669" s="4">
        <f>SUM(J669:L669)/SUM(J669:M669)</f>
        <v/>
      </c>
      <c r="P669" s="5">
        <f>MAX(J669:L669)/SUM(J669:L669)</f>
        <v/>
      </c>
    </row>
    <row r="670">
      <c r="A670" t="inlineStr">
        <is>
          <t>Segundo año</t>
        </is>
      </c>
      <c r="B670" t="inlineStr">
        <is>
          <t>Tercer periodo</t>
        </is>
      </c>
      <c r="C670" t="n">
        <v>77</v>
      </c>
      <c r="D670" t="n">
        <v>668</v>
      </c>
      <c r="E670" s="3" t="n">
        <v>46205</v>
      </c>
      <c r="F670" t="inlineStr">
        <is>
          <t>Iniciativa</t>
        </is>
      </c>
      <c r="G670" t="inlineStr">
        <is>
          <t>Dictamen con minuta de decreto por el cual se reforman las fracciones II y III del artículo 116; y se adiciona la fracción IV al artículo 116 de la ley de los trabajadores al servicio del estado</t>
        </is>
      </c>
      <c r="H670" t="n">
        <v>16</v>
      </c>
      <c r="I670" t="inlineStr">
        <is>
          <t>Trabajo y Previsión Social</t>
        </is>
      </c>
      <c r="J670" t="n">
        <v>32</v>
      </c>
      <c r="K670" t="n">
        <v>0</v>
      </c>
      <c r="L670" t="n">
        <v>0</v>
      </c>
      <c r="M670" t="n">
        <v>9</v>
      </c>
      <c r="N670">
        <f>SUM(J670:M670)</f>
        <v/>
      </c>
      <c r="O670" s="4">
        <f>SUM(J670:L670)/SUM(J670:M670)</f>
        <v/>
      </c>
      <c r="P670" s="5">
        <f>MAX(J670:L670)/SUM(J670:L670)</f>
        <v/>
      </c>
    </row>
    <row r="671">
      <c r="A671" t="inlineStr">
        <is>
          <t>Segundo año</t>
        </is>
      </c>
      <c r="B671" t="inlineStr">
        <is>
          <t>Tercer periodo</t>
        </is>
      </c>
      <c r="C671" t="n">
        <v>78</v>
      </c>
      <c r="D671" t="n">
        <v>669</v>
      </c>
      <c r="E671" s="3" t="n">
        <v>46205</v>
      </c>
      <c r="F671" t="inlineStr">
        <is>
          <t>Iniciativa</t>
        </is>
      </c>
      <c r="G671" t="inlineStr">
        <is>
          <t>Dictamen con minuta de decreto por el cual se reforman las fracciones V y VI del artículo 37; y se adicionan las fracciones VII y VIII al artículo 37, todas de la ley orgánica municipal</t>
        </is>
      </c>
      <c r="H671" t="n">
        <v>18</v>
      </c>
      <c r="I671" t="inlineStr">
        <is>
          <t>Administración Pública</t>
        </is>
      </c>
      <c r="J671" t="n">
        <v>34</v>
      </c>
      <c r="K671" t="n">
        <v>0</v>
      </c>
      <c r="L671" t="n">
        <v>0</v>
      </c>
      <c r="M671" t="n">
        <v>7</v>
      </c>
      <c r="N671">
        <f>SUM(J671:M671)</f>
        <v/>
      </c>
      <c r="O671" s="4">
        <f>SUM(J671:L671)/SUM(J671:M671)</f>
        <v/>
      </c>
      <c r="P671" s="5">
        <f>MAX(J671:L671)/SUM(J671:L671)</f>
        <v/>
      </c>
    </row>
    <row r="672">
      <c r="A672" t="inlineStr">
        <is>
          <t>Segundo año</t>
        </is>
      </c>
      <c r="B672" t="inlineStr">
        <is>
          <t>Tercer periodo</t>
        </is>
      </c>
      <c r="C672" t="n">
        <v>79</v>
      </c>
      <c r="D672" t="n">
        <v>670</v>
      </c>
      <c r="E672" s="3" t="n">
        <v>46205</v>
      </c>
      <c r="F672" t="inlineStr">
        <is>
          <t>Iniciativa</t>
        </is>
      </c>
      <c r="G672" t="inlineStr">
        <is>
          <t>Dictamen con minuta de decreto por el cual se reforman el párrafo primero del artículo 21; los artículos 22, 24, 25, 26, 27, 29, 33, 34, 35, 49, el acápite y la fracción I del 56 y el 229, todos de la ley orgánica municipal</t>
        </is>
      </c>
      <c r="H672" t="n">
        <v>18</v>
      </c>
      <c r="I672" t="inlineStr">
        <is>
          <t>Administración Pública</t>
        </is>
      </c>
      <c r="J672" t="n">
        <v>31</v>
      </c>
      <c r="K672" t="n">
        <v>0</v>
      </c>
      <c r="L672" t="n">
        <v>4</v>
      </c>
      <c r="M672" t="n">
        <v>6</v>
      </c>
      <c r="N672">
        <f>SUM(J672:M672)</f>
        <v/>
      </c>
      <c r="O672" s="4">
        <f>SUM(J672:L672)/SUM(J672:M672)</f>
        <v/>
      </c>
      <c r="P672" s="5">
        <f>MAX(J672:L672)/SUM(J672:L672)</f>
        <v/>
      </c>
    </row>
    <row r="673">
      <c r="A673" t="inlineStr">
        <is>
          <t>Segundo año</t>
        </is>
      </c>
      <c r="B673" t="inlineStr">
        <is>
          <t>Tercer periodo</t>
        </is>
      </c>
      <c r="C673" t="n">
        <v>80</v>
      </c>
      <c r="D673" t="n">
        <v>671</v>
      </c>
      <c r="E673" s="3" t="n">
        <v>46205</v>
      </c>
      <c r="F673" t="inlineStr">
        <is>
          <t>Iniciativa</t>
        </is>
      </c>
      <c r="G673" t="inlineStr">
        <is>
          <t>Dictamen con minuta de decreto por el cual se reforman el primer párrafo del artículo 608 y la fracción I del artículo 697; ambos del código civil para el estado libre y soberano de</t>
        </is>
      </c>
      <c r="H673" t="n">
        <v>14</v>
      </c>
      <c r="I673" t="inlineStr">
        <is>
          <t>Justicia y Estado de Derecho</t>
        </is>
      </c>
      <c r="J673" t="n">
        <v>36</v>
      </c>
      <c r="K673" t="n">
        <v>0</v>
      </c>
      <c r="L673" t="n">
        <v>0</v>
      </c>
      <c r="M673" t="n">
        <v>5</v>
      </c>
      <c r="N673">
        <f>SUM(J673:M673)</f>
        <v/>
      </c>
      <c r="O673" s="4">
        <f>SUM(J673:L673)/SUM(J673:M673)</f>
        <v/>
      </c>
      <c r="P673" s="5">
        <f>MAX(J673:L673)/SUM(J673:L673)</f>
        <v/>
      </c>
    </row>
    <row r="674">
      <c r="A674" t="inlineStr">
        <is>
          <t>Segundo año</t>
        </is>
      </c>
      <c r="B674" t="inlineStr">
        <is>
          <t>Tercer periodo</t>
        </is>
      </c>
      <c r="C674" t="n">
        <v>81</v>
      </c>
      <c r="D674" t="n">
        <v>672</v>
      </c>
      <c r="E674" s="3" t="n">
        <v>46205</v>
      </c>
      <c r="F674" t="inlineStr">
        <is>
          <t>Iniciativa</t>
        </is>
      </c>
      <c r="G674" t="inlineStr">
        <is>
          <t>Dictamen con minuta de decreto por el cual se reforma el artículo 266 y se adiciona el artículo 271 bis; ambos del código penal del estado libre y soberano de</t>
        </is>
      </c>
      <c r="H674" t="n">
        <v>14</v>
      </c>
      <c r="I674" t="inlineStr">
        <is>
          <t>Justicia y Estado de Derecho</t>
        </is>
      </c>
      <c r="J674" t="n">
        <v>36</v>
      </c>
      <c r="K674" t="n">
        <v>0</v>
      </c>
      <c r="L674" t="n">
        <v>0</v>
      </c>
      <c r="M674" t="n">
        <v>5</v>
      </c>
      <c r="N674">
        <f>SUM(J674:M674)</f>
        <v/>
      </c>
      <c r="O674" s="4">
        <f>SUM(J674:L674)/SUM(J674:M674)</f>
        <v/>
      </c>
      <c r="P674" s="5">
        <f>MAX(J674:L674)/SUM(J674:L674)</f>
        <v/>
      </c>
    </row>
    <row r="675">
      <c r="A675" t="inlineStr">
        <is>
          <t>Segundo año</t>
        </is>
      </c>
      <c r="B675" t="inlineStr">
        <is>
          <t>Tercer periodo</t>
        </is>
      </c>
      <c r="C675" t="n">
        <v>82</v>
      </c>
      <c r="D675" t="n">
        <v>673</v>
      </c>
      <c r="E675" s="3" t="n">
        <v>46205</v>
      </c>
      <c r="F675" t="inlineStr">
        <is>
          <t>Iniciativa</t>
        </is>
      </c>
      <c r="G675" t="inlineStr">
        <is>
          <t>Dictamen con minuta de decreto por el cual se reforman y adicionan diversas disposiciones de la ley estatal de salud</t>
        </is>
      </c>
      <c r="H675" t="n">
        <v>6</v>
      </c>
      <c r="I675" t="inlineStr">
        <is>
          <t>Salud</t>
        </is>
      </c>
      <c r="J675" t="n">
        <v>36</v>
      </c>
      <c r="K675" t="n">
        <v>0</v>
      </c>
      <c r="L675" t="n">
        <v>0</v>
      </c>
      <c r="M675" t="n">
        <v>5</v>
      </c>
      <c r="N675">
        <f>SUM(J675:M675)</f>
        <v/>
      </c>
      <c r="O675" s="4">
        <f>SUM(J675:L675)/SUM(J675:M675)</f>
        <v/>
      </c>
      <c r="P675" s="5">
        <f>MAX(J675:L675)/SUM(J675:L675)</f>
        <v/>
      </c>
    </row>
    <row r="676">
      <c r="A676" t="inlineStr">
        <is>
          <t>Segundo año</t>
        </is>
      </c>
      <c r="B676" t="inlineStr">
        <is>
          <t>Tercer periodo</t>
        </is>
      </c>
      <c r="C676" t="n">
        <v>83</v>
      </c>
      <c r="D676" t="n">
        <v>674</v>
      </c>
      <c r="E676" s="3" t="n">
        <v>46205</v>
      </c>
      <c r="F676" t="inlineStr">
        <is>
          <t>Iniciativa</t>
        </is>
      </c>
      <c r="G676" t="inlineStr">
        <is>
          <t>Dictamen con minuta de decreto por el cual se reforman la denominación, así como diversas disposiciones de la ley de protección a los no fumadores para el estado de</t>
        </is>
      </c>
      <c r="H676" t="n">
        <v>6</v>
      </c>
      <c r="I676" t="inlineStr">
        <is>
          <t>Salud</t>
        </is>
      </c>
      <c r="J676" t="n">
        <v>36</v>
      </c>
      <c r="K676" t="n">
        <v>0</v>
      </c>
      <c r="L676" t="n">
        <v>0</v>
      </c>
      <c r="M676" t="n">
        <v>5</v>
      </c>
      <c r="N676">
        <f>SUM(J676:M676)</f>
        <v/>
      </c>
      <c r="O676" s="4">
        <f>SUM(J676:L676)/SUM(J676:M676)</f>
        <v/>
      </c>
      <c r="P676" s="5">
        <f>MAX(J676:L676)/SUM(J676:L676)</f>
        <v/>
      </c>
    </row>
    <row r="677">
      <c r="A677" t="inlineStr">
        <is>
          <t>Segundo año</t>
        </is>
      </c>
      <c r="B677" t="inlineStr">
        <is>
          <t>Tercer periodo</t>
        </is>
      </c>
      <c r="C677" t="n">
        <v>84</v>
      </c>
      <c r="D677" t="n">
        <v>675</v>
      </c>
      <c r="E677" s="3" t="n">
        <v>46205</v>
      </c>
      <c r="F677" t="inlineStr">
        <is>
          <t>Punto de Acuerdo</t>
        </is>
      </c>
      <c r="G677" t="inlineStr">
        <is>
          <t>Acuerdo por el que se exhorta a la secretaría de desarrollo económico y trabajo del estado</t>
        </is>
      </c>
      <c r="H677" t="n">
        <v>1</v>
      </c>
      <c r="I677" t="inlineStr">
        <is>
          <t>Economía, Comercio y Competitividad</t>
        </is>
      </c>
      <c r="J677" t="n">
        <v>36</v>
      </c>
      <c r="K677" t="n">
        <v>0</v>
      </c>
      <c r="L677" t="n">
        <v>0</v>
      </c>
      <c r="M677" t="n">
        <v>5</v>
      </c>
      <c r="N677">
        <f>SUM(J677:M677)</f>
        <v/>
      </c>
      <c r="O677" s="4">
        <f>SUM(J677:L677)/SUM(J677:M677)</f>
        <v/>
      </c>
      <c r="P677" s="5">
        <f>MAX(J677:L677)/SUM(J677:L677)</f>
        <v/>
      </c>
    </row>
    <row r="678">
      <c r="A678" t="inlineStr">
        <is>
          <t>Segundo año</t>
        </is>
      </c>
      <c r="B678" t="inlineStr">
        <is>
          <t>Tercer periodo</t>
        </is>
      </c>
      <c r="C678" t="n">
        <v>85</v>
      </c>
      <c r="D678" t="n">
        <v>676</v>
      </c>
      <c r="E678" s="3" t="n">
        <v>46205</v>
      </c>
      <c r="F678" t="inlineStr">
        <is>
          <t>Punto de Acuerdo</t>
        </is>
      </c>
      <c r="G678" t="inlineStr">
        <is>
          <t>Acuerdo por el que se exhorta a la secretaría de desarrollo económico y trabajo</t>
        </is>
      </c>
      <c r="H678" t="n">
        <v>16</v>
      </c>
      <c r="I678" t="inlineStr">
        <is>
          <t>Trabajo y Previsión Social</t>
        </is>
      </c>
      <c r="J678" t="n">
        <v>36</v>
      </c>
      <c r="K678" t="n">
        <v>0</v>
      </c>
      <c r="L678" t="n">
        <v>0</v>
      </c>
      <c r="M678" t="n">
        <v>5</v>
      </c>
      <c r="N678">
        <f>SUM(J678:M678)</f>
        <v/>
      </c>
      <c r="O678" s="4">
        <f>SUM(J678:L678)/SUM(J678:M678)</f>
        <v/>
      </c>
      <c r="P678" s="5">
        <f>MAX(J678:L678)/SUM(J678:L678)</f>
        <v/>
      </c>
    </row>
    <row r="679">
      <c r="A679" t="inlineStr">
        <is>
          <t>Segundo año</t>
        </is>
      </c>
      <c r="B679" t="inlineStr">
        <is>
          <t>Tercer periodo</t>
        </is>
      </c>
      <c r="C679" t="n">
        <v>86</v>
      </c>
      <c r="D679" t="n">
        <v>677</v>
      </c>
      <c r="E679" s="3" t="n">
        <v>46205</v>
      </c>
      <c r="F679" t="inlineStr">
        <is>
          <t>Punto de Acuerdo</t>
        </is>
      </c>
      <c r="G679" t="inlineStr">
        <is>
          <t>Acuerdo por el que se exhorta al instituto poblano de asistencia al migrante</t>
        </is>
      </c>
      <c r="H679" t="n">
        <v>9</v>
      </c>
      <c r="I679" t="inlineStr">
        <is>
          <t>Migración y fronteras</t>
        </is>
      </c>
      <c r="J679" t="n">
        <v>36</v>
      </c>
      <c r="K679" t="n">
        <v>0</v>
      </c>
      <c r="L679" t="n">
        <v>0</v>
      </c>
      <c r="M679" t="n">
        <v>5</v>
      </c>
      <c r="N679">
        <f>SUM(J679:M679)</f>
        <v/>
      </c>
      <c r="O679" s="4">
        <f>SUM(J679:L679)/SUM(J679:M679)</f>
        <v/>
      </c>
      <c r="P679" s="5">
        <f>MAX(J679:L679)/SUM(J679:L679)</f>
        <v/>
      </c>
    </row>
    <row r="680">
      <c r="A680" t="inlineStr">
        <is>
          <t>Segundo año</t>
        </is>
      </c>
      <c r="B680" t="inlineStr">
        <is>
          <t>Tercer periodo</t>
        </is>
      </c>
      <c r="C680" t="n">
        <v>87</v>
      </c>
      <c r="D680" t="n">
        <v>678</v>
      </c>
      <c r="E680" s="3" t="n">
        <v>46205</v>
      </c>
      <c r="F680" t="inlineStr">
        <is>
          <t>Punto de Acuerdo</t>
        </is>
      </c>
      <c r="G680" t="inlineStr">
        <is>
          <t>Acuerdo por el que se exhorta a la coordinación general de protección civil y gestión del riesgo de desastres del estado</t>
        </is>
      </c>
      <c r="H680" t="n">
        <v>3</v>
      </c>
      <c r="I680" t="inlineStr">
        <is>
          <t>Seguridad Pública, Protección Civil y Narcotráfico</t>
        </is>
      </c>
      <c r="J680" t="n">
        <v>36</v>
      </c>
      <c r="K680" t="n">
        <v>0</v>
      </c>
      <c r="L680" t="n">
        <v>0</v>
      </c>
      <c r="M680" t="n">
        <v>5</v>
      </c>
      <c r="N680">
        <f>SUM(J680:M680)</f>
        <v/>
      </c>
      <c r="O680" s="4">
        <f>SUM(J680:L680)/SUM(J680:M680)</f>
        <v/>
      </c>
      <c r="P680" s="5">
        <f>MAX(J680:L680)/SUM(J680:L680)</f>
        <v/>
      </c>
    </row>
    <row r="681">
      <c r="A681" t="inlineStr">
        <is>
          <t>Segundo año</t>
        </is>
      </c>
      <c r="B681" t="inlineStr">
        <is>
          <t>Tercer periodo</t>
        </is>
      </c>
      <c r="C681" t="n">
        <v>88</v>
      </c>
      <c r="D681" t="n">
        <v>679</v>
      </c>
      <c r="E681" s="3" t="n">
        <v>46205</v>
      </c>
      <c r="F681" t="inlineStr">
        <is>
          <t>Punto de Acuerdo</t>
        </is>
      </c>
      <c r="G681" t="inlineStr">
        <is>
          <t>Acuerdo por el que se exhorta a la secretaría de desarrollo turístico y a la secretaría de infraestructura, ambas del estado</t>
        </is>
      </c>
      <c r="H681" t="n">
        <v>11</v>
      </c>
      <c r="I681" t="inlineStr">
        <is>
          <t>Infraestructura, Movilidad y Transporte</t>
        </is>
      </c>
      <c r="J681" t="n">
        <v>36</v>
      </c>
      <c r="K681" t="n">
        <v>0</v>
      </c>
      <c r="L681" t="n">
        <v>0</v>
      </c>
      <c r="M681" t="n">
        <v>5</v>
      </c>
      <c r="N681">
        <f>SUM(J681:M681)</f>
        <v/>
      </c>
      <c r="O681" s="4">
        <f>SUM(J681:L681)/SUM(J681:M681)</f>
        <v/>
      </c>
      <c r="P681" s="5">
        <f>MAX(J681:L681)/SUM(J681:L681)</f>
        <v/>
      </c>
    </row>
    <row r="682">
      <c r="A682" t="inlineStr">
        <is>
          <t>Segundo año</t>
        </is>
      </c>
      <c r="B682" t="inlineStr">
        <is>
          <t>Tercer periodo</t>
        </is>
      </c>
      <c r="C682" t="n">
        <v>89</v>
      </c>
      <c r="D682" t="n">
        <v>680</v>
      </c>
      <c r="E682" s="3" t="n">
        <v>46205</v>
      </c>
      <c r="F682" t="inlineStr">
        <is>
          <t>Punto de Acuerdo</t>
        </is>
      </c>
      <c r="G682" t="inlineStr">
        <is>
          <t>Acuerdo por el que se exhorta al organismo público descentralizado del estado “convenciones y parques”</t>
        </is>
      </c>
      <c r="H682" t="n">
        <v>11</v>
      </c>
      <c r="I682" t="inlineStr">
        <is>
          <t>Infraestructura, Movilidad y Transporte</t>
        </is>
      </c>
      <c r="J682" t="n">
        <v>36</v>
      </c>
      <c r="K682" t="n">
        <v>0</v>
      </c>
      <c r="L682" t="n">
        <v>0</v>
      </c>
      <c r="M682" t="n">
        <v>5</v>
      </c>
      <c r="N682">
        <f>SUM(J682:M682)</f>
        <v/>
      </c>
      <c r="O682" s="4">
        <f>SUM(J682:L682)/SUM(J682:M682)</f>
        <v/>
      </c>
      <c r="P682" s="5">
        <f>MAX(J682:L682)/SUM(J682:L682)</f>
        <v/>
      </c>
    </row>
    <row r="683">
      <c r="A683" t="inlineStr">
        <is>
          <t>Segundo año</t>
        </is>
      </c>
      <c r="B683" t="inlineStr">
        <is>
          <t>Tercer periodo</t>
        </is>
      </c>
      <c r="C683" t="n">
        <v>90</v>
      </c>
      <c r="D683" t="n">
        <v>681</v>
      </c>
      <c r="E683" s="3" t="n">
        <v>46205</v>
      </c>
      <c r="F683" t="inlineStr">
        <is>
          <t>Punto de Acuerdo</t>
        </is>
      </c>
      <c r="G683" t="inlineStr">
        <is>
          <t>Acuerdo por el que se exhorta a los doscientos doce ayuntamientos y cinco concejos municipales del estado</t>
        </is>
      </c>
      <c r="H683" t="n">
        <v>18</v>
      </c>
      <c r="I683" t="inlineStr">
        <is>
          <t>Administración Pública</t>
        </is>
      </c>
      <c r="J683" t="n">
        <v>36</v>
      </c>
      <c r="K683" t="n">
        <v>0</v>
      </c>
      <c r="L683" t="n">
        <v>0</v>
      </c>
      <c r="M683" t="n">
        <v>5</v>
      </c>
      <c r="N683">
        <f>SUM(J683:M683)</f>
        <v/>
      </c>
      <c r="O683" s="4">
        <f>SUM(J683:L683)/SUM(J683:M683)</f>
        <v/>
      </c>
      <c r="P683" s="5">
        <f>MAX(J683:L683)/SUM(J683:L683)</f>
        <v/>
      </c>
    </row>
    <row r="684">
      <c r="A684" t="inlineStr">
        <is>
          <t>Segundo año</t>
        </is>
      </c>
      <c r="B684" t="inlineStr">
        <is>
          <t>Tercer periodo</t>
        </is>
      </c>
      <c r="C684" t="n">
        <v>91</v>
      </c>
      <c r="D684" t="n">
        <v>682</v>
      </c>
      <c r="E684" s="3" t="n">
        <v>46205</v>
      </c>
      <c r="F684" t="inlineStr">
        <is>
          <t>Punto de Acuerdo</t>
        </is>
      </c>
      <c r="G684" t="inlineStr">
        <is>
          <t>Acuerdo por el que se exhorta a la secretaría de medio ambiente, desarrollo sustentable y ordenamiento territorial del estado</t>
        </is>
      </c>
      <c r="H684" t="n">
        <v>5</v>
      </c>
      <c r="I684" t="inlineStr">
        <is>
          <t>Medio Ambiente</t>
        </is>
      </c>
      <c r="J684" t="n">
        <v>36</v>
      </c>
      <c r="K684" t="n">
        <v>0</v>
      </c>
      <c r="L684" t="n">
        <v>0</v>
      </c>
      <c r="M684" t="n">
        <v>5</v>
      </c>
      <c r="N684">
        <f>SUM(J684:M684)</f>
        <v/>
      </c>
      <c r="O684" s="4">
        <f>SUM(J684:L684)/SUM(J684:M684)</f>
        <v/>
      </c>
      <c r="P684" s="5">
        <f>MAX(J684:L684)/SUM(J684:L684)</f>
        <v/>
      </c>
    </row>
    <row r="685">
      <c r="A685" t="inlineStr">
        <is>
          <t>Segundo año</t>
        </is>
      </c>
      <c r="B685" t="inlineStr">
        <is>
          <t>Tercer periodo</t>
        </is>
      </c>
      <c r="C685" t="n">
        <v>92</v>
      </c>
      <c r="D685" t="n">
        <v>683</v>
      </c>
      <c r="E685" s="3" t="n">
        <v>46205</v>
      </c>
      <c r="F685" t="inlineStr">
        <is>
          <t>Punto de Acuerdo</t>
        </is>
      </c>
      <c r="G685" t="inlineStr">
        <is>
          <t>Acuerdo por el que se exhorta a la secretaría de medio ambiente, desarrollo sustentable y ordenamiento territorial</t>
        </is>
      </c>
      <c r="H685" t="n">
        <v>5</v>
      </c>
      <c r="I685" t="inlineStr">
        <is>
          <t>Medio Ambiente</t>
        </is>
      </c>
      <c r="J685" t="n">
        <v>36</v>
      </c>
      <c r="K685" t="n">
        <v>0</v>
      </c>
      <c r="L685" t="n">
        <v>0</v>
      </c>
      <c r="M685" t="n">
        <v>5</v>
      </c>
      <c r="N685">
        <f>SUM(J685:M685)</f>
        <v/>
      </c>
      <c r="O685" s="4">
        <f>SUM(J685:L685)/SUM(J685:M685)</f>
        <v/>
      </c>
      <c r="P685" s="5">
        <f>MAX(J685:L685)/SUM(J685:L685)</f>
        <v/>
      </c>
    </row>
    <row r="686">
      <c r="A686" t="inlineStr">
        <is>
          <t>Segundo año</t>
        </is>
      </c>
      <c r="B686" t="inlineStr">
        <is>
          <t>Tercer periodo</t>
        </is>
      </c>
      <c r="C686" t="n">
        <v>93</v>
      </c>
      <c r="D686" t="n">
        <v>684</v>
      </c>
      <c r="E686" s="3" t="n">
        <v>46205</v>
      </c>
      <c r="F686" t="inlineStr">
        <is>
          <t>Punto de Acuerdo</t>
        </is>
      </c>
      <c r="G686" t="inlineStr">
        <is>
          <t>Acuerdo por el que se exhorta a la secretaría de arte y cultura, y al organismo público descentralizado “museos”</t>
        </is>
      </c>
      <c r="H686" t="n">
        <v>8</v>
      </c>
      <c r="I686" t="inlineStr">
        <is>
          <t>Educación y Cultura</t>
        </is>
      </c>
      <c r="J686" t="n">
        <v>36</v>
      </c>
      <c r="K686" t="n">
        <v>0</v>
      </c>
      <c r="L686" t="n">
        <v>0</v>
      </c>
      <c r="M686" t="n">
        <v>5</v>
      </c>
      <c r="N686">
        <f>SUM(J686:M686)</f>
        <v/>
      </c>
      <c r="O686" s="4">
        <f>SUM(J686:L686)/SUM(J686:M686)</f>
        <v/>
      </c>
      <c r="P686" s="5">
        <f>MAX(J686:L686)/SUM(J686:L686)</f>
        <v/>
      </c>
    </row>
    <row r="687">
      <c r="A687" t="inlineStr">
        <is>
          <t>Segundo año</t>
        </is>
      </c>
      <c r="B687" t="inlineStr">
        <is>
          <t>Tercer periodo</t>
        </is>
      </c>
      <c r="C687" t="n">
        <v>94</v>
      </c>
      <c r="D687" t="n">
        <v>685</v>
      </c>
      <c r="E687" s="3" t="n">
        <v>46205</v>
      </c>
      <c r="F687" t="inlineStr">
        <is>
          <t>Punto de Acuerdo</t>
        </is>
      </c>
      <c r="G687" t="inlineStr">
        <is>
          <t>Acuerdo por el que se exhorta a la gerencia divisional de distribución centro oriente de la comisión federal de electricidad</t>
        </is>
      </c>
      <c r="H687" t="n">
        <v>1</v>
      </c>
      <c r="I687" t="inlineStr">
        <is>
          <t>Economía, Comercio y Competitividad</t>
        </is>
      </c>
      <c r="J687" t="n">
        <v>36</v>
      </c>
      <c r="K687" t="n">
        <v>0</v>
      </c>
      <c r="L687" t="n">
        <v>0</v>
      </c>
      <c r="M687" t="n">
        <v>5</v>
      </c>
      <c r="N687">
        <f>SUM(J687:M687)</f>
        <v/>
      </c>
      <c r="O687" s="4">
        <f>SUM(J687:L687)/SUM(J687:M687)</f>
        <v/>
      </c>
      <c r="P687" s="5">
        <f>MAX(J687:L687)/SUM(J687:L687)</f>
        <v/>
      </c>
    </row>
    <row r="688">
      <c r="A688" t="inlineStr">
        <is>
          <t>Segundo año</t>
        </is>
      </c>
      <c r="B688" t="inlineStr">
        <is>
          <t>Tercer periodo</t>
        </is>
      </c>
      <c r="C688" t="n">
        <v>95</v>
      </c>
      <c r="D688" t="n">
        <v>686</v>
      </c>
      <c r="E688" s="3" t="n">
        <v>46205</v>
      </c>
      <c r="F688" t="inlineStr">
        <is>
          <t>Punto de Acuerdo</t>
        </is>
      </c>
      <c r="G688" t="inlineStr">
        <is>
          <t>Acuerdo por el que se exhorta a los doscientos doce ayuntamientos y cinco concejos municipales del estado</t>
        </is>
      </c>
      <c r="H688" t="n">
        <v>5</v>
      </c>
      <c r="I688" t="inlineStr">
        <is>
          <t>Medio Ambiente</t>
        </is>
      </c>
      <c r="J688" t="n">
        <v>36</v>
      </c>
      <c r="K688" t="n">
        <v>0</v>
      </c>
      <c r="L688" t="n">
        <v>0</v>
      </c>
      <c r="M688" t="n">
        <v>5</v>
      </c>
      <c r="N688">
        <f>SUM(J688:M688)</f>
        <v/>
      </c>
      <c r="O688" s="4">
        <f>SUM(J688:L688)/SUM(J688:M688)</f>
        <v/>
      </c>
      <c r="P688" s="5">
        <f>MAX(J688:L688)/SUM(J688:L688)</f>
        <v/>
      </c>
    </row>
    <row r="689">
      <c r="A689" t="inlineStr">
        <is>
          <t>Segundo año</t>
        </is>
      </c>
      <c r="B689" t="inlineStr">
        <is>
          <t>Tercer periodo</t>
        </is>
      </c>
      <c r="C689" t="n">
        <v>96</v>
      </c>
      <c r="D689" t="n">
        <v>687</v>
      </c>
      <c r="E689" s="3" t="n">
        <v>46205</v>
      </c>
      <c r="F689" t="inlineStr">
        <is>
          <t>Punto de Acuerdo</t>
        </is>
      </c>
      <c r="G689" t="inlineStr">
        <is>
          <t>Acuerdo por el que se exhorta a la secretaría de salud del estado</t>
        </is>
      </c>
      <c r="H689" t="n">
        <v>6</v>
      </c>
      <c r="I689" t="inlineStr">
        <is>
          <t>Salud</t>
        </is>
      </c>
      <c r="J689" t="n">
        <v>36</v>
      </c>
      <c r="K689" t="n">
        <v>0</v>
      </c>
      <c r="L689" t="n">
        <v>0</v>
      </c>
      <c r="M689" t="n">
        <v>5</v>
      </c>
      <c r="N689">
        <f>SUM(J689:M689)</f>
        <v/>
      </c>
      <c r="O689" s="4">
        <f>SUM(J689:L689)/SUM(J689:M689)</f>
        <v/>
      </c>
      <c r="P689" s="5">
        <f>MAX(J689:L689)/SUM(J689:L689)</f>
        <v/>
      </c>
    </row>
    <row r="690">
      <c r="A690" t="inlineStr">
        <is>
          <t>Segundo año</t>
        </is>
      </c>
      <c r="B690" t="inlineStr">
        <is>
          <t>Tercer periodo</t>
        </is>
      </c>
      <c r="C690" t="n">
        <v>97</v>
      </c>
      <c r="D690" t="n">
        <v>688</v>
      </c>
      <c r="E690" s="3" t="n">
        <v>46212</v>
      </c>
      <c r="F690" t="inlineStr">
        <is>
          <t>Punto de Acuerdo</t>
        </is>
      </c>
      <c r="G690" t="inlineStr">
        <is>
          <t>Acuerdo por el cual el acta de la sesión pública ordinaria, celebrada el dos de julio del año en curso</t>
        </is>
      </c>
      <c r="H690" t="n">
        <v>19</v>
      </c>
      <c r="I690" t="inlineStr">
        <is>
          <t>Internos del Congreso</t>
        </is>
      </c>
      <c r="J690" t="n">
        <v>41</v>
      </c>
      <c r="K690" t="n">
        <v>0</v>
      </c>
      <c r="L690" t="n">
        <v>0</v>
      </c>
      <c r="M690" t="n">
        <v>0</v>
      </c>
      <c r="N690">
        <f>SUM(J690:M690)</f>
        <v/>
      </c>
      <c r="O690" s="4">
        <f>SUM(J690:L690)/SUM(J690:M690)</f>
        <v/>
      </c>
      <c r="P690" s="5">
        <f>MAX(J690:L690)/SUM(J690:L690)</f>
        <v/>
      </c>
    </row>
    <row r="691">
      <c r="A691" t="inlineStr">
        <is>
          <t>Segundo año</t>
        </is>
      </c>
      <c r="B691" t="inlineStr">
        <is>
          <t>Tercer periodo</t>
        </is>
      </c>
      <c r="C691" t="n">
        <v>98</v>
      </c>
      <c r="D691" t="n">
        <v>689</v>
      </c>
      <c r="E691" s="3" t="n">
        <v>46212</v>
      </c>
      <c r="F691" t="inlineStr">
        <is>
          <t>Punto de Acuerdo</t>
        </is>
      </c>
      <c r="G691" t="inlineStr">
        <is>
          <t>Acuerdo por el cual la prórroga de la sesión hasta concluir todos los puntos del orden del día</t>
        </is>
      </c>
      <c r="H691" t="n">
        <v>19</v>
      </c>
      <c r="I691" t="inlineStr">
        <is>
          <t>Internos del Congreso</t>
        </is>
      </c>
      <c r="J691" t="n">
        <v>41</v>
      </c>
      <c r="K691" t="n">
        <v>0</v>
      </c>
      <c r="L691" t="n">
        <v>0</v>
      </c>
      <c r="M691" t="n">
        <v>0</v>
      </c>
      <c r="N691">
        <f>SUM(J691:M691)</f>
        <v/>
      </c>
      <c r="O691" s="4">
        <f>SUM(J691:L691)/SUM(J691:M691)</f>
        <v/>
      </c>
      <c r="P691" s="5">
        <f>MAX(J691:L691)/SUM(J691:L691)</f>
        <v/>
      </c>
    </row>
    <row r="692">
      <c r="A692" t="inlineStr">
        <is>
          <t>Segundo año</t>
        </is>
      </c>
      <c r="B692" t="inlineStr">
        <is>
          <t>Tercer periodo</t>
        </is>
      </c>
      <c r="C692" t="n">
        <v>99</v>
      </c>
      <c r="D692" t="n">
        <v>690</v>
      </c>
      <c r="E692" s="3" t="n">
        <v>46212</v>
      </c>
      <c r="F692" t="inlineStr">
        <is>
          <t>Punto de Acuerdo</t>
        </is>
      </c>
      <c r="G692" t="inlineStr">
        <is>
          <t>Acuerdo por el que se reforma el resolutivo primero del acuerdo por el que se aprueba la comparecencia del titular de la coordinación de gabinete del gobierno del estado</t>
        </is>
      </c>
      <c r="H692" t="n">
        <v>18</v>
      </c>
      <c r="I692" t="inlineStr">
        <is>
          <t>Administración Pública</t>
        </is>
      </c>
      <c r="J692" t="n">
        <v>39</v>
      </c>
      <c r="K692" t="n">
        <v>0</v>
      </c>
      <c r="L692" t="n">
        <v>0</v>
      </c>
      <c r="M692" t="n">
        <v>0</v>
      </c>
      <c r="N692">
        <f>SUM(J692:M692)</f>
        <v/>
      </c>
      <c r="O692" s="4">
        <f>SUM(J692:L692)/SUM(J692:M692)</f>
        <v/>
      </c>
      <c r="P692" s="5">
        <f>MAX(J692:L692)/SUM(J692:L692)</f>
        <v/>
      </c>
    </row>
    <row r="693">
      <c r="A693" t="inlineStr">
        <is>
          <t>Segundo año</t>
        </is>
      </c>
      <c r="B693" t="inlineStr">
        <is>
          <t>Tercer periodo</t>
        </is>
      </c>
      <c r="C693" t="n">
        <v>100</v>
      </c>
      <c r="D693" t="n">
        <v>691</v>
      </c>
      <c r="E693" s="3" t="n">
        <v>46212</v>
      </c>
      <c r="F693" t="inlineStr">
        <is>
          <t>Iniciativa</t>
        </is>
      </c>
      <c r="G693" t="inlineStr">
        <is>
          <t>Dictamen con minuta de decreto por el cual se declara: “2026, año de Gilberto Bosques Saldívar. La humanidad al servicio de la justicia y la libertad”</t>
        </is>
      </c>
      <c r="H693" t="n">
        <v>8</v>
      </c>
      <c r="I693" t="inlineStr">
        <is>
          <t>Educación y Cultura</t>
        </is>
      </c>
      <c r="J693" t="n">
        <v>39</v>
      </c>
      <c r="K693" t="n">
        <v>0</v>
      </c>
      <c r="L693" t="n">
        <v>0</v>
      </c>
      <c r="M693" t="n">
        <v>0</v>
      </c>
      <c r="N693">
        <f>SUM(J693:M693)</f>
        <v/>
      </c>
      <c r="O693" s="4">
        <f>SUM(J693:L693)/SUM(J693:M693)</f>
        <v/>
      </c>
      <c r="P693" s="5">
        <f>MAX(J693:L693)/SUM(J693:L693)</f>
        <v/>
      </c>
    </row>
    <row r="694">
      <c r="A694" t="inlineStr">
        <is>
          <t>Segundo año</t>
        </is>
      </c>
      <c r="B694" t="inlineStr">
        <is>
          <t>Tercer periodo</t>
        </is>
      </c>
      <c r="C694" t="n">
        <v>101</v>
      </c>
      <c r="D694" t="n">
        <v>692</v>
      </c>
      <c r="E694" s="3" t="n">
        <v>46212</v>
      </c>
      <c r="F694" t="inlineStr">
        <is>
          <t>Iniciativa</t>
        </is>
      </c>
      <c r="G694" t="inlineStr">
        <is>
          <t>Dictamen con minuta de decreto por el cual se reforman los artículos 1, el 3, el tercer párrafo del 10 y el 11; todos de la ley de estímulos cívicos</t>
        </is>
      </c>
      <c r="H694" t="n">
        <v>18</v>
      </c>
      <c r="I694" t="inlineStr">
        <is>
          <t>Administración Pública</t>
        </is>
      </c>
      <c r="J694" t="n">
        <v>39</v>
      </c>
      <c r="K694" t="n">
        <v>0</v>
      </c>
      <c r="L694" t="n">
        <v>0</v>
      </c>
      <c r="M694" t="n">
        <v>0</v>
      </c>
      <c r="N694">
        <f>SUM(J694:M694)</f>
        <v/>
      </c>
      <c r="O694" s="4">
        <f>SUM(J694:L694)/SUM(J694:M694)</f>
        <v/>
      </c>
      <c r="P694" s="5">
        <f>MAX(J694:L694)/SUM(J694:L694)</f>
        <v/>
      </c>
    </row>
    <row r="695">
      <c r="A695" t="inlineStr">
        <is>
          <t>Segundo año</t>
        </is>
      </c>
      <c r="B695" t="inlineStr">
        <is>
          <t>Tercer periodo</t>
        </is>
      </c>
      <c r="C695" t="n">
        <v>102</v>
      </c>
      <c r="D695" t="n">
        <v>693</v>
      </c>
      <c r="E695" s="3" t="n">
        <v>46212</v>
      </c>
      <c r="F695" t="inlineStr">
        <is>
          <t>Iniciativa</t>
        </is>
      </c>
      <c r="G695" t="inlineStr">
        <is>
          <t>Dictamen con minuta de decreto por el cual se reforman las fracciones II y III del artículo 54; y se adiciona la fracción IV al artículo 54; todos de la ley de la juventud para el estado</t>
        </is>
      </c>
      <c r="H695" t="n">
        <v>2</v>
      </c>
      <c r="I695" t="inlineStr">
        <is>
          <t>Pobreza y Política Social</t>
        </is>
      </c>
      <c r="J695" t="n">
        <v>39</v>
      </c>
      <c r="K695" t="n">
        <v>0</v>
      </c>
      <c r="L695" t="n">
        <v>0</v>
      </c>
      <c r="M695" t="n">
        <v>0</v>
      </c>
      <c r="N695">
        <f>SUM(J695:M695)</f>
        <v/>
      </c>
      <c r="O695" s="4">
        <f>SUM(J695:L695)/SUM(J695:M695)</f>
        <v/>
      </c>
      <c r="P695" s="5">
        <f>MAX(J695:L695)/SUM(J695:L695)</f>
        <v/>
      </c>
    </row>
    <row r="696">
      <c r="A696" t="inlineStr">
        <is>
          <t>Segundo año</t>
        </is>
      </c>
      <c r="B696" t="inlineStr">
        <is>
          <t>Tercer periodo</t>
        </is>
      </c>
      <c r="C696" t="n">
        <v>103</v>
      </c>
      <c r="D696" t="n">
        <v>694</v>
      </c>
      <c r="E696" s="3" t="n">
        <v>46212</v>
      </c>
      <c r="F696" t="inlineStr">
        <is>
          <t>Iniciativa</t>
        </is>
      </c>
      <c r="G696" t="inlineStr">
        <is>
          <t>Dictamen con minuta de decreto por el cual se reforman el artículo 3 y el 30 ter de la ley estatal del deporte</t>
        </is>
      </c>
      <c r="H696" t="n">
        <v>2</v>
      </c>
      <c r="I696" t="inlineStr">
        <is>
          <t>Pobreza y Política Social</t>
        </is>
      </c>
      <c r="J696" t="n">
        <v>39</v>
      </c>
      <c r="K696" t="n">
        <v>0</v>
      </c>
      <c r="L696" t="n">
        <v>0</v>
      </c>
      <c r="M696" t="n">
        <v>0</v>
      </c>
      <c r="N696">
        <f>SUM(J696:M696)</f>
        <v/>
      </c>
      <c r="O696" s="4">
        <f>SUM(J696:L696)/SUM(J696:M696)</f>
        <v/>
      </c>
      <c r="P696" s="5">
        <f>MAX(J696:L696)/SUM(J696:L696)</f>
        <v/>
      </c>
    </row>
    <row r="697">
      <c r="A697" t="inlineStr">
        <is>
          <t>Segundo año</t>
        </is>
      </c>
      <c r="B697" t="inlineStr">
        <is>
          <t>Tercer periodo</t>
        </is>
      </c>
      <c r="C697" t="n">
        <v>104</v>
      </c>
      <c r="D697" t="n">
        <v>695</v>
      </c>
      <c r="E697" s="3" t="n">
        <v>46212</v>
      </c>
      <c r="F697" t="inlineStr">
        <is>
          <t>Iniciativa</t>
        </is>
      </c>
      <c r="G697" t="inlineStr">
        <is>
          <t>Dictamen con minuta de decreto por el cual se reforman las fracciones V y VI del artículo 10, las fracciones XI, XII y XIII del 21, y se adicionan la fracción VII al artículo 10, y la fracción XIV al 21; todos de la ley estatal del deporte</t>
        </is>
      </c>
      <c r="H697" t="n">
        <v>2</v>
      </c>
      <c r="I697" t="inlineStr">
        <is>
          <t>Pobreza y Política Social</t>
        </is>
      </c>
      <c r="J697" t="n">
        <v>39</v>
      </c>
      <c r="K697" t="n">
        <v>0</v>
      </c>
      <c r="L697" t="n">
        <v>0</v>
      </c>
      <c r="M697" t="n">
        <v>0</v>
      </c>
      <c r="N697">
        <f>SUM(J697:M697)</f>
        <v/>
      </c>
      <c r="O697" s="4">
        <f>SUM(J697:L697)/SUM(J697:M697)</f>
        <v/>
      </c>
      <c r="P697" s="5">
        <f>MAX(J697:L697)/SUM(J697:L697)</f>
        <v/>
      </c>
    </row>
    <row r="698">
      <c r="A698" t="inlineStr">
        <is>
          <t>Segundo año</t>
        </is>
      </c>
      <c r="B698" t="inlineStr">
        <is>
          <t>Tercer periodo</t>
        </is>
      </c>
      <c r="C698" t="n">
        <v>105</v>
      </c>
      <c r="D698" t="n">
        <v>696</v>
      </c>
      <c r="E698" s="3" t="n">
        <v>46212</v>
      </c>
      <c r="F698" t="inlineStr">
        <is>
          <t>Iniciativa</t>
        </is>
      </c>
      <c r="G698" t="inlineStr">
        <is>
          <t>Dictamen con minuta de decreto por el cual se reforman, adicionan y derogan diversas disposiciones de la constitución política del estado libre y soberano de ; y se reforman diversas disposiciones transitorias, de la declaratoria del honorable congreso del estado por la que se declaró aprobado el decreto</t>
        </is>
      </c>
      <c r="H698" t="n">
        <v>14</v>
      </c>
      <c r="I698" t="inlineStr">
        <is>
          <t>Justicia y Estado de Derecho</t>
        </is>
      </c>
      <c r="J698" t="n">
        <v>33</v>
      </c>
      <c r="K698" t="n">
        <v>6</v>
      </c>
      <c r="L698" t="n">
        <v>1</v>
      </c>
      <c r="M698" t="n">
        <v>0</v>
      </c>
      <c r="N698">
        <f>SUM(J698:M698)</f>
        <v/>
      </c>
      <c r="O698" s="4">
        <f>SUM(J698:L698)/SUM(J698:M698)</f>
        <v/>
      </c>
      <c r="P698" s="5">
        <f>MAX(J698:L698)/SUM(J698:L698)</f>
        <v/>
      </c>
    </row>
    <row r="699">
      <c r="A699" t="inlineStr">
        <is>
          <t>Segundo año</t>
        </is>
      </c>
      <c r="B699" t="inlineStr">
        <is>
          <t>Tercer periodo</t>
        </is>
      </c>
      <c r="C699" t="n">
        <v>106</v>
      </c>
      <c r="D699" t="n">
        <v>697</v>
      </c>
      <c r="E699" s="3" t="n">
        <v>46212</v>
      </c>
      <c r="F699" t="inlineStr">
        <is>
          <t>Punto de Acuerdo</t>
        </is>
      </c>
      <c r="G699" t="inlineStr">
        <is>
          <t>Acuerdo por el que se exhorta al ayuntamiento de huitziltepec, para que, durante el año 2026, con motivo de la conmemoración de los 100 años de la repartición agraria y como un acto de reconocimiento a la memoria histórica y ejidal en santa ana coapan, inserte en su papelería oficial la leyenda: “benigno néstor zenteno y ángel zenteno, revolucionarios originarios de santa ana coapan, huitziltepec, ”</t>
        </is>
      </c>
      <c r="H699" t="n">
        <v>18</v>
      </c>
      <c r="I699" t="inlineStr">
        <is>
          <t>Administración Pública</t>
        </is>
      </c>
      <c r="J699" t="n">
        <v>40</v>
      </c>
      <c r="K699" t="n">
        <v>0</v>
      </c>
      <c r="L699" t="n">
        <v>0</v>
      </c>
      <c r="M699" t="n">
        <v>0</v>
      </c>
      <c r="N699">
        <f>SUM(J699:M699)</f>
        <v/>
      </c>
      <c r="O699" s="4">
        <f>SUM(J699:L699)/SUM(J699:M699)</f>
        <v/>
      </c>
      <c r="P699" s="5">
        <f>MAX(J699:L699)/SUM(J699:L699)</f>
        <v/>
      </c>
    </row>
    <row r="700">
      <c r="A700" t="inlineStr">
        <is>
          <t>Segundo año</t>
        </is>
      </c>
      <c r="B700" t="inlineStr">
        <is>
          <t>Tercer periodo</t>
        </is>
      </c>
      <c r="C700" t="n">
        <v>107</v>
      </c>
      <c r="D700" t="n">
        <v>698</v>
      </c>
      <c r="E700" s="3" t="n">
        <v>46212</v>
      </c>
      <c r="F700" t="inlineStr">
        <is>
          <t>Punto de Acuerdo</t>
        </is>
      </c>
      <c r="G700" t="inlineStr">
        <is>
          <t>Acuerdo por el que se exhorta a la secretaría de arte y cultura del estado, para que, de manera coordinada con el ayuntamiento de xicotepec, implemente una estrategia integral de difusión sobre la relevancia histórica, académica y cultural del centro ceremonial "la xochipila", así como de sus portadores de saberes tradicionales, con el fin de garantizar su salvaguarda, promoción y visibilidad como parte de la identidad poblana</t>
        </is>
      </c>
      <c r="H700" t="n">
        <v>8</v>
      </c>
      <c r="I700" t="inlineStr">
        <is>
          <t>Educación y Cultura</t>
        </is>
      </c>
      <c r="J700" t="n">
        <v>40</v>
      </c>
      <c r="K700" t="n">
        <v>0</v>
      </c>
      <c r="L700" t="n">
        <v>0</v>
      </c>
      <c r="M700" t="n">
        <v>0</v>
      </c>
      <c r="N700">
        <f>SUM(J700:M700)</f>
        <v/>
      </c>
      <c r="O700" s="4">
        <f>SUM(J700:L700)/SUM(J700:M700)</f>
        <v/>
      </c>
      <c r="P700" s="5">
        <f>MAX(J700:L700)/SUM(J700:L700)</f>
        <v/>
      </c>
    </row>
    <row r="701">
      <c r="A701" t="inlineStr">
        <is>
          <t>Segundo año</t>
        </is>
      </c>
      <c r="B701" t="inlineStr">
        <is>
          <t>Tercer periodo</t>
        </is>
      </c>
      <c r="C701" t="n">
        <v>108</v>
      </c>
      <c r="D701" t="n">
        <v>699</v>
      </c>
      <c r="E701" s="3" t="n">
        <v>46218</v>
      </c>
      <c r="F701" t="inlineStr">
        <is>
          <t>Punto de Acuerdo</t>
        </is>
      </c>
      <c r="G701" t="inlineStr">
        <is>
          <t>Acuerdo para la elección e integración de miembros de la comisión permanente</t>
        </is>
      </c>
      <c r="H701" t="n">
        <v>19</v>
      </c>
      <c r="I701" t="inlineStr">
        <is>
          <t>Internos del Congreso</t>
        </is>
      </c>
      <c r="J701" t="n">
        <v>41</v>
      </c>
      <c r="K701" t="n">
        <v>0</v>
      </c>
      <c r="L701" t="n">
        <v>0</v>
      </c>
      <c r="M701" t="n">
        <v>0</v>
      </c>
      <c r="N701">
        <f>SUM(J701:M701)</f>
        <v/>
      </c>
      <c r="O701" s="4">
        <f>SUM(J701:L701)/SUM(J701:M701)</f>
        <v/>
      </c>
      <c r="P701" s="5">
        <f>MAX(J701:L701)/SUM(J701:L701)</f>
        <v/>
      </c>
    </row>
    <row r="702">
      <c r="A702" t="inlineStr">
        <is>
          <t>Segundo año</t>
        </is>
      </c>
      <c r="B702" t="inlineStr">
        <is>
          <t>Tercer periodo</t>
        </is>
      </c>
      <c r="C702" t="n">
        <v>109</v>
      </c>
      <c r="D702" t="n">
        <v>700</v>
      </c>
      <c r="E702" s="3" t="n">
        <v>46218</v>
      </c>
      <c r="F702" t="inlineStr">
        <is>
          <t>Punto de Acuerdo</t>
        </is>
      </c>
      <c r="G702" t="inlineStr">
        <is>
          <t>Acuerdo por el cual el procedimiento necesario para otorgar la presea Gilberto Bosques Saldivar</t>
        </is>
      </c>
      <c r="H702" t="n">
        <v>8</v>
      </c>
      <c r="I702" t="inlineStr">
        <is>
          <t>Educación y Cultura</t>
        </is>
      </c>
      <c r="J702" t="n">
        <v>41</v>
      </c>
      <c r="K702" t="n">
        <v>0</v>
      </c>
      <c r="L702" t="n">
        <v>0</v>
      </c>
      <c r="M702" t="n">
        <v>0</v>
      </c>
      <c r="N702">
        <f>SUM(J702:M702)</f>
        <v/>
      </c>
      <c r="O702" s="4">
        <f>SUM(J702:L702)/SUM(J702:M702)</f>
        <v/>
      </c>
      <c r="P702" s="5">
        <f>MAX(J702:L702)/SUM(J702:L702)</f>
        <v/>
      </c>
    </row>
    <row r="703">
      <c r="A703" t="inlineStr">
        <is>
          <t>Segundo año</t>
        </is>
      </c>
      <c r="B703" t="inlineStr">
        <is>
          <t>Tercer periodo</t>
        </is>
      </c>
      <c r="C703" t="n">
        <v>110</v>
      </c>
      <c r="D703" t="n">
        <v>701</v>
      </c>
      <c r="E703" s="3" t="n">
        <v>46218</v>
      </c>
      <c r="F703" t="inlineStr">
        <is>
          <t>Punto de Acuerdo</t>
        </is>
      </c>
      <c r="G703" t="inlineStr">
        <is>
          <t>Acuerdo por el cual el nombramiento del titular de la unidad técnica</t>
        </is>
      </c>
      <c r="H703" t="n">
        <v>18</v>
      </c>
      <c r="I703" t="inlineStr">
        <is>
          <t>Administración Pública</t>
        </is>
      </c>
      <c r="J703" t="n">
        <v>34</v>
      </c>
      <c r="K703" t="n">
        <v>0</v>
      </c>
      <c r="L703" t="n">
        <v>7</v>
      </c>
      <c r="M703" t="n">
        <v>0</v>
      </c>
      <c r="N703">
        <f>SUM(J703:M703)</f>
        <v/>
      </c>
      <c r="O703" s="4">
        <f>SUM(J703:L703)/SUM(J703:M703)</f>
        <v/>
      </c>
      <c r="P703" s="5">
        <f>MAX(J703:L703)/SUM(J703:L703)</f>
        <v/>
      </c>
    </row>
    <row r="704">
      <c r="A704" t="inlineStr">
        <is>
          <t>Segundo año</t>
        </is>
      </c>
      <c r="B704" t="inlineStr">
        <is>
          <t>Tercer periodo</t>
        </is>
      </c>
      <c r="C704" t="n">
        <v>111</v>
      </c>
      <c r="D704" t="n">
        <v>702</v>
      </c>
      <c r="E704" s="3" t="n">
        <v>46218</v>
      </c>
      <c r="F704" t="inlineStr">
        <is>
          <t>Iniciativa</t>
        </is>
      </c>
      <c r="G704" t="inlineStr">
        <is>
          <t>Dictamen con minuta de decreto por el cual la derogación de la fracción III del artículo 33 de la ley de mecanismos alternativos de solución de controversias</t>
        </is>
      </c>
      <c r="H704" t="n">
        <v>14</v>
      </c>
      <c r="I704" t="inlineStr">
        <is>
          <t>Justicia y Estado de Derecho</t>
        </is>
      </c>
      <c r="J704" t="n">
        <v>35</v>
      </c>
      <c r="K704" t="n">
        <v>0</v>
      </c>
      <c r="L704" t="n">
        <v>6</v>
      </c>
      <c r="M704" t="n">
        <v>0</v>
      </c>
      <c r="N704">
        <f>SUM(J704:M704)</f>
        <v/>
      </c>
      <c r="O704" s="4">
        <f>SUM(J704:L704)/SUM(J704:M704)</f>
        <v/>
      </c>
      <c r="P704" s="5">
        <f>MAX(J704:L704)/SUM(J704:L704)</f>
        <v/>
      </c>
    </row>
    <row r="705">
      <c r="A705" t="inlineStr">
        <is>
          <t>Segundo año</t>
        </is>
      </c>
      <c r="B705" t="inlineStr">
        <is>
          <t>Tercer periodo</t>
        </is>
      </c>
      <c r="C705" t="n">
        <v>112</v>
      </c>
      <c r="D705" t="n">
        <v>703</v>
      </c>
      <c r="E705" s="3" t="n">
        <v>46218</v>
      </c>
      <c r="F705" t="inlineStr">
        <is>
          <t>Iniciativa</t>
        </is>
      </c>
      <c r="G705" t="inlineStr">
        <is>
          <t>Dictamen con minuta de decreto por el cual la reforma a la ley de obra pública y servicios</t>
        </is>
      </c>
      <c r="H705" t="n">
        <v>11</v>
      </c>
      <c r="I705" t="inlineStr">
        <is>
          <t>Infraestructura, Movilidad y Transporte</t>
        </is>
      </c>
      <c r="J705" t="n">
        <v>35</v>
      </c>
      <c r="K705" t="n">
        <v>0</v>
      </c>
      <c r="L705" t="n">
        <v>6</v>
      </c>
      <c r="M705" t="n">
        <v>0</v>
      </c>
      <c r="N705">
        <f>SUM(J705:M705)</f>
        <v/>
      </c>
      <c r="O705" s="4">
        <f>SUM(J705:L705)/SUM(J705:M705)</f>
        <v/>
      </c>
      <c r="P705" s="5">
        <f>MAX(J705:L705)/SUM(J705:L705)</f>
        <v/>
      </c>
    </row>
    <row r="706">
      <c r="A706" t="inlineStr">
        <is>
          <t>Segundo año</t>
        </is>
      </c>
      <c r="B706" t="inlineStr">
        <is>
          <t>Tercer periodo</t>
        </is>
      </c>
      <c r="C706" t="n">
        <v>113</v>
      </c>
      <c r="D706" t="n">
        <v>704</v>
      </c>
      <c r="E706" s="3" t="n">
        <v>46218</v>
      </c>
      <c r="F706" t="inlineStr">
        <is>
          <t>Iniciativa</t>
        </is>
      </c>
      <c r="G706" t="inlineStr">
        <is>
          <t>Dictamen con minuta de decreto por el cual la reforma a la universidad de la salud</t>
        </is>
      </c>
      <c r="H706" t="n">
        <v>8</v>
      </c>
      <c r="I706" t="inlineStr">
        <is>
          <t>Educación y Cultura</t>
        </is>
      </c>
      <c r="J706" t="n">
        <v>41</v>
      </c>
      <c r="K706" t="n">
        <v>0</v>
      </c>
      <c r="L706" t="n">
        <v>0</v>
      </c>
      <c r="M706" t="n">
        <v>0</v>
      </c>
      <c r="N706">
        <f>SUM(J706:M706)</f>
        <v/>
      </c>
      <c r="O706" s="4">
        <f>SUM(J706:L706)/SUM(J706:M706)</f>
        <v/>
      </c>
      <c r="P706" s="5">
        <f>MAX(J706:L706)/SUM(J706:L706)</f>
        <v/>
      </c>
    </row>
    <row r="707">
      <c r="A707" t="inlineStr">
        <is>
          <t>Segundo año</t>
        </is>
      </c>
      <c r="B707" t="inlineStr">
        <is>
          <t>Tercer periodo</t>
        </is>
      </c>
      <c r="C707" t="n">
        <v>114</v>
      </c>
      <c r="D707" t="n">
        <v>705</v>
      </c>
      <c r="E707" s="3" t="n">
        <v>46218</v>
      </c>
      <c r="F707" t="inlineStr">
        <is>
          <t>Iniciativa</t>
        </is>
      </c>
      <c r="G707" t="inlineStr">
        <is>
          <t>Dictamen con minuta de decreto por el cual la reforma a la ley de economía circular</t>
        </is>
      </c>
      <c r="H707" t="n">
        <v>5</v>
      </c>
      <c r="I707" t="inlineStr">
        <is>
          <t>Medio Ambiente</t>
        </is>
      </c>
      <c r="J707" t="n">
        <v>41</v>
      </c>
      <c r="K707" t="n">
        <v>0</v>
      </c>
      <c r="L707" t="n">
        <v>0</v>
      </c>
      <c r="M707" t="n">
        <v>0</v>
      </c>
      <c r="N707">
        <f>SUM(J707:M707)</f>
        <v/>
      </c>
      <c r="O707" s="4">
        <f>SUM(J707:L707)/SUM(J707:M707)</f>
        <v/>
      </c>
      <c r="P707" s="5">
        <f>MAX(J707:L707)/SUM(J707:L707)</f>
        <v/>
      </c>
    </row>
    <row r="708">
      <c r="A708" t="inlineStr">
        <is>
          <t>Segundo año</t>
        </is>
      </c>
      <c r="B708" t="inlineStr">
        <is>
          <t>Tercer periodo</t>
        </is>
      </c>
      <c r="C708" t="n">
        <v>115</v>
      </c>
      <c r="D708" t="n">
        <v>706</v>
      </c>
      <c r="E708" s="3" t="n">
        <v>46218</v>
      </c>
      <c r="F708" t="inlineStr">
        <is>
          <t>Iniciativa</t>
        </is>
      </c>
      <c r="G708" t="inlineStr">
        <is>
          <t>Dictamen con minuta de decreto por el cual la reforma a la ley de desarrollo económico sustentable</t>
        </is>
      </c>
      <c r="H708" t="n">
        <v>1</v>
      </c>
      <c r="I708" t="inlineStr">
        <is>
          <t>Economía, Comercio y Competitividad</t>
        </is>
      </c>
      <c r="J708" t="n">
        <v>41</v>
      </c>
      <c r="K708" t="n">
        <v>0</v>
      </c>
      <c r="L708" t="n">
        <v>0</v>
      </c>
      <c r="M708" t="n">
        <v>0</v>
      </c>
      <c r="N708">
        <f>SUM(J708:M708)</f>
        <v/>
      </c>
      <c r="O708" s="4">
        <f>SUM(J708:L708)/SUM(J708:M708)</f>
        <v/>
      </c>
      <c r="P708" s="5">
        <f>MAX(J708:L708)/SUM(J708:L708)</f>
        <v/>
      </c>
    </row>
    <row r="709">
      <c r="A709" t="inlineStr">
        <is>
          <t>Segundo año</t>
        </is>
      </c>
      <c r="B709" t="inlineStr">
        <is>
          <t>Tercer periodo</t>
        </is>
      </c>
      <c r="C709" t="n">
        <v>116</v>
      </c>
      <c r="D709" t="n">
        <v>707</v>
      </c>
      <c r="E709" s="3" t="n">
        <v>46218</v>
      </c>
      <c r="F709" t="inlineStr">
        <is>
          <t>Punto de Acuerdo</t>
        </is>
      </c>
      <c r="G709" t="inlineStr">
        <is>
          <t>Acuerdo por el que se exhorta a la secretaría de desarrollo económico y trabajo y al IMSS</t>
        </is>
      </c>
      <c r="H709" t="n">
        <v>16</v>
      </c>
      <c r="I709" t="inlineStr">
        <is>
          <t>Trabajo y Previsión Social</t>
        </is>
      </c>
      <c r="J709" t="n">
        <v>41</v>
      </c>
      <c r="K709" t="n">
        <v>0</v>
      </c>
      <c r="L709" t="n">
        <v>0</v>
      </c>
      <c r="M709" t="n">
        <v>0</v>
      </c>
      <c r="N709">
        <f>SUM(J709:M709)</f>
        <v/>
      </c>
      <c r="O709" s="4">
        <f>SUM(J709:L709)/SUM(J709:M709)</f>
        <v/>
      </c>
      <c r="P709" s="5">
        <f>MAX(J709:L709)/SUM(J709:L709)</f>
        <v/>
      </c>
    </row>
    <row r="710">
      <c r="A710" t="inlineStr">
        <is>
          <t>Segundo año</t>
        </is>
      </c>
      <c r="B710" t="inlineStr">
        <is>
          <t>Tercer periodo</t>
        </is>
      </c>
      <c r="C710" t="n">
        <v>117</v>
      </c>
      <c r="D710" t="n">
        <v>708</v>
      </c>
      <c r="E710" s="3" t="n">
        <v>46218</v>
      </c>
      <c r="F710" t="inlineStr">
        <is>
          <t>Punto de Acuerdo</t>
        </is>
      </c>
      <c r="G710" t="inlineStr">
        <is>
          <t>Acuerdo por el que se exhorta al sistema estatal DIF</t>
        </is>
      </c>
      <c r="H710" t="n">
        <v>2</v>
      </c>
      <c r="I710" t="inlineStr">
        <is>
          <t>Pobreza y Política Social</t>
        </is>
      </c>
      <c r="J710" t="n">
        <v>41</v>
      </c>
      <c r="K710" t="n">
        <v>0</v>
      </c>
      <c r="L710" t="n">
        <v>0</v>
      </c>
      <c r="M710" t="n">
        <v>0</v>
      </c>
      <c r="N710">
        <f>SUM(J710:M710)</f>
        <v/>
      </c>
      <c r="O710" s="4">
        <f>SUM(J710:L710)/SUM(J710:M710)</f>
        <v/>
      </c>
      <c r="P710" s="5">
        <f>MAX(J710:L710)/SUM(J710:L710)</f>
        <v/>
      </c>
    </row>
    <row r="711">
      <c r="A711" t="inlineStr">
        <is>
          <t>Segundo año</t>
        </is>
      </c>
      <c r="B711" t="inlineStr">
        <is>
          <t>Tercer periodo</t>
        </is>
      </c>
      <c r="C711" t="n">
        <v>118</v>
      </c>
      <c r="D711" t="n">
        <v>709</v>
      </c>
      <c r="E711" s="3" t="n">
        <v>46218</v>
      </c>
      <c r="F711" t="inlineStr">
        <is>
          <t>Punto de Acuerdo</t>
        </is>
      </c>
      <c r="G711" t="inlineStr">
        <is>
          <t>Acuerdo por el que se exhorta a los ayuntamientos en materia de transparencia</t>
        </is>
      </c>
      <c r="H711" t="n">
        <v>10</v>
      </c>
      <c r="I711" t="inlineStr">
        <is>
          <t>Transparencia y Rendición de Cuentas</t>
        </is>
      </c>
      <c r="J711" t="n">
        <v>41</v>
      </c>
      <c r="K711" t="n">
        <v>0</v>
      </c>
      <c r="L711" t="n">
        <v>0</v>
      </c>
      <c r="M711" t="n">
        <v>0</v>
      </c>
      <c r="N711">
        <f>SUM(J711:M711)</f>
        <v/>
      </c>
      <c r="O711" s="4">
        <f>SUM(J711:L711)/SUM(J711:M711)</f>
        <v/>
      </c>
      <c r="P711" s="5">
        <f>MAX(J711:L711)/SUM(J711:L711)</f>
        <v/>
      </c>
    </row>
    <row r="712">
      <c r="A712" t="inlineStr">
        <is>
          <t>Segundo año</t>
        </is>
      </c>
      <c r="B712" t="inlineStr">
        <is>
          <t>Tercer periodo</t>
        </is>
      </c>
      <c r="C712" t="n">
        <v>119</v>
      </c>
      <c r="D712" t="n">
        <v>710</v>
      </c>
      <c r="E712" s="3" t="n">
        <v>46218</v>
      </c>
      <c r="F712" t="inlineStr">
        <is>
          <t>Punto de Acuerdo</t>
        </is>
      </c>
      <c r="G712" t="inlineStr">
        <is>
          <t>Acuerdo por el que se exhorta a la secretaría anticorrupción y buen gobierno</t>
        </is>
      </c>
      <c r="H712" t="n">
        <v>10</v>
      </c>
      <c r="I712" t="inlineStr">
        <is>
          <t>Transparencia y Rendición de Cuentas</t>
        </is>
      </c>
      <c r="J712" t="n">
        <v>41</v>
      </c>
      <c r="K712" t="n">
        <v>0</v>
      </c>
      <c r="L712" t="n">
        <v>0</v>
      </c>
      <c r="M712" t="n">
        <v>0</v>
      </c>
      <c r="N712">
        <f>SUM(J712:M712)</f>
        <v/>
      </c>
      <c r="O712" s="4">
        <f>SUM(J712:L712)/SUM(J712:M712)</f>
        <v/>
      </c>
      <c r="P712" s="5">
        <f>MAX(J712:L712)/SUM(J712:L712)</f>
        <v/>
      </c>
    </row>
    <row r="713">
      <c r="A713" t="inlineStr">
        <is>
          <t>Segundo año</t>
        </is>
      </c>
      <c r="B713" t="inlineStr">
        <is>
          <t>Tercer periodo</t>
        </is>
      </c>
      <c r="C713" t="n">
        <v>120</v>
      </c>
      <c r="D713" t="n">
        <v>711</v>
      </c>
      <c r="E713" s="3" t="n">
        <v>46218</v>
      </c>
      <c r="F713" t="inlineStr">
        <is>
          <t>Punto de Acuerdo</t>
        </is>
      </c>
      <c r="G713" t="inlineStr">
        <is>
          <t>Acuerdo por el que se exhorta a los ayuntamientos a implementar la estrategia red violeta</t>
        </is>
      </c>
      <c r="H713" t="n">
        <v>20</v>
      </c>
      <c r="I713" t="inlineStr">
        <is>
          <t>Justicia y Estado de Derecho en temas de Mujeres</t>
        </is>
      </c>
      <c r="J713" t="n">
        <v>41</v>
      </c>
      <c r="K713" t="n">
        <v>0</v>
      </c>
      <c r="L713" t="n">
        <v>0</v>
      </c>
      <c r="M713" t="n">
        <v>0</v>
      </c>
      <c r="N713">
        <f>SUM(J713:M713)</f>
        <v/>
      </c>
      <c r="O713" s="4">
        <f>SUM(J713:L713)/SUM(J713:M713)</f>
        <v/>
      </c>
      <c r="P713" s="5">
        <f>MAX(J713:L713)/SUM(J713:L713)</f>
        <v/>
      </c>
    </row>
    <row r="714">
      <c r="A714" t="inlineStr">
        <is>
          <t>Segundo año</t>
        </is>
      </c>
      <c r="B714" t="inlineStr">
        <is>
          <t>Tercer periodo</t>
        </is>
      </c>
      <c r="C714" t="n">
        <v>121</v>
      </c>
      <c r="D714" t="n">
        <v>712</v>
      </c>
      <c r="E714" s="3" t="n">
        <v>46218</v>
      </c>
      <c r="F714" t="inlineStr">
        <is>
          <t>Punto de Acuerdo</t>
        </is>
      </c>
      <c r="G714" t="inlineStr">
        <is>
          <t>Acuerdo por el que se exhorta a los ayuntamientos a prevenir la violencia familiar contra las mujeres</t>
        </is>
      </c>
      <c r="H714" t="n">
        <v>20</v>
      </c>
      <c r="I714" t="inlineStr">
        <is>
          <t>Justicia y Estado de Derecho en temas de Mujeres</t>
        </is>
      </c>
      <c r="J714" t="n">
        <v>41</v>
      </c>
      <c r="K714" t="n">
        <v>0</v>
      </c>
      <c r="L714" t="n">
        <v>0</v>
      </c>
      <c r="M714" t="n">
        <v>0</v>
      </c>
      <c r="N714">
        <f>SUM(J714:M714)</f>
        <v/>
      </c>
      <c r="O714" s="4">
        <f>SUM(J714:L714)/SUM(J714:M714)</f>
        <v/>
      </c>
      <c r="P714" s="5">
        <f>MAX(J714:L714)/SUM(J714:L714)</f>
        <v/>
      </c>
    </row>
    <row r="715">
      <c r="A715" t="inlineStr">
        <is>
          <t>Segundo año</t>
        </is>
      </c>
      <c r="B715" t="inlineStr">
        <is>
          <t>Tercer periodo</t>
        </is>
      </c>
      <c r="C715" t="n">
        <v>122</v>
      </c>
      <c r="D715" t="n">
        <v>713</v>
      </c>
      <c r="E715" s="3" t="n">
        <v>46219</v>
      </c>
      <c r="F715" t="inlineStr">
        <is>
          <t>Punto de Acuerdo</t>
        </is>
      </c>
      <c r="G715" t="inlineStr">
        <is>
          <t>Acuerdo por el cual las sesiones se llevarán a cabo en el salón de plenos</t>
        </is>
      </c>
      <c r="H715" t="n">
        <v>19</v>
      </c>
      <c r="I715" t="inlineStr">
        <is>
          <t>Internos del Congreso</t>
        </is>
      </c>
      <c r="J715" t="n">
        <v>7</v>
      </c>
      <c r="K715" t="n">
        <v>0</v>
      </c>
      <c r="L715" t="n">
        <v>0</v>
      </c>
      <c r="M715" t="n">
        <v>2</v>
      </c>
      <c r="N715">
        <f>SUM(J715:M715)</f>
        <v/>
      </c>
      <c r="O715" s="4">
        <f>SUM(J715:L715)/SUM(J715:M715)</f>
        <v/>
      </c>
      <c r="P715" s="5">
        <f>MAX(J715:L715)/SUM(J715:L715)</f>
        <v/>
      </c>
    </row>
    <row r="716">
      <c r="A716" t="inlineStr">
        <is>
          <t>Segundo año</t>
        </is>
      </c>
      <c r="B716" t="inlineStr">
        <is>
          <t>Tercer periodo</t>
        </is>
      </c>
      <c r="C716" t="n">
        <v>123</v>
      </c>
      <c r="D716" t="n">
        <v>714</v>
      </c>
      <c r="E716" s="3" t="n">
        <v>46224</v>
      </c>
      <c r="F716" t="inlineStr">
        <is>
          <t>Punto de Acuerdo</t>
        </is>
      </c>
      <c r="G716" t="inlineStr">
        <is>
          <t>Acuerdo por el cual la dispensa de la lectura del contenido del acta de la sesión celebrada por la Comisión Permanente el dieciséis de julio</t>
        </is>
      </c>
      <c r="H716" t="n">
        <v>19</v>
      </c>
      <c r="I716" t="inlineStr">
        <is>
          <t>Internos del Congreso</t>
        </is>
      </c>
      <c r="J716" t="n">
        <v>8</v>
      </c>
      <c r="K716" t="n">
        <v>0</v>
      </c>
      <c r="L716" t="n">
        <v>0</v>
      </c>
      <c r="M716" t="n">
        <v>0</v>
      </c>
      <c r="N716">
        <f>SUM(J716:M716)</f>
        <v/>
      </c>
      <c r="O716" s="4">
        <f>SUM(J716:L716)/SUM(J716:M716)</f>
        <v/>
      </c>
      <c r="P716" s="5">
        <f>MAX(J716:L716)/SUM(J716:L716)</f>
        <v/>
      </c>
    </row>
    <row r="717">
      <c r="A717" t="inlineStr">
        <is>
          <t>Segundo año</t>
        </is>
      </c>
      <c r="B717" t="inlineStr">
        <is>
          <t>Tercer periodo</t>
        </is>
      </c>
      <c r="C717" t="n">
        <v>124</v>
      </c>
      <c r="D717" t="n">
        <v>715</v>
      </c>
      <c r="E717" s="3" t="n">
        <v>46224</v>
      </c>
      <c r="F717" t="inlineStr">
        <is>
          <t>Punto de Acuerdo</t>
        </is>
      </c>
      <c r="G717" t="inlineStr">
        <is>
          <t>Acuerdo por el que se exhorta a la Secretaría de Agricultura y Desarrollo Rural del estado para que fortalezcan las acciones de prevención de la plaga del gusano cogollero</t>
        </is>
      </c>
      <c r="H717" t="n">
        <v>12</v>
      </c>
      <c r="I717" t="inlineStr">
        <is>
          <t>Agricultura, Ganadería y Pesca</t>
        </is>
      </c>
      <c r="J717" t="n">
        <v>8</v>
      </c>
      <c r="K717" t="n">
        <v>0</v>
      </c>
      <c r="L717" t="n">
        <v>0</v>
      </c>
      <c r="M717" t="n">
        <v>0</v>
      </c>
      <c r="N717">
        <f>SUM(J717:M717)</f>
        <v/>
      </c>
      <c r="O717" s="4">
        <f>SUM(J717:L717)/SUM(J717:M717)</f>
        <v/>
      </c>
      <c r="P717" s="5">
        <f>MAX(J717:L717)/SUM(J717:L717)</f>
        <v/>
      </c>
    </row>
    <row r="718">
      <c r="A718" t="inlineStr">
        <is>
          <t>Segundo año</t>
        </is>
      </c>
      <c r="B718" t="inlineStr">
        <is>
          <t>Tercer periodo</t>
        </is>
      </c>
      <c r="C718" t="n">
        <v>125</v>
      </c>
      <c r="D718" t="n">
        <v>716</v>
      </c>
      <c r="E718" s="3" t="n">
        <v>46224</v>
      </c>
      <c r="F718" t="inlineStr">
        <is>
          <t>Punto de Acuerdo</t>
        </is>
      </c>
      <c r="G718" t="inlineStr">
        <is>
          <t>Acuerdo por el que se exhorta a la Secretaría de Desarrollo Turístico del estado para que implementen campañas permanentes de promoción de la gastronomía tradicional</t>
        </is>
      </c>
      <c r="H718" t="n">
        <v>1</v>
      </c>
      <c r="I718" t="inlineStr">
        <is>
          <t>Economía, Comercio y Competitividad</t>
        </is>
      </c>
      <c r="J718" t="n">
        <v>9</v>
      </c>
      <c r="K718" t="n">
        <v>0</v>
      </c>
      <c r="L718" t="n">
        <v>0</v>
      </c>
      <c r="M718" t="n">
        <v>0</v>
      </c>
      <c r="N718">
        <f>SUM(J718:M718)</f>
        <v/>
      </c>
      <c r="O718" s="4">
        <f>SUM(J718:L718)/SUM(J718:M718)</f>
        <v/>
      </c>
      <c r="P718" s="5">
        <f>MAX(J718:L718)/SUM(J718:L718)</f>
        <v/>
      </c>
    </row>
    <row r="719">
      <c r="A719" t="inlineStr">
        <is>
          <t>Segundo año</t>
        </is>
      </c>
      <c r="B719" t="inlineStr">
        <is>
          <t>Tercer periodo</t>
        </is>
      </c>
      <c r="C719" t="n">
        <v>126</v>
      </c>
      <c r="D719" t="n">
        <v>717</v>
      </c>
      <c r="E719" s="3" t="n">
        <v>46225</v>
      </c>
      <c r="F719" t="inlineStr">
        <is>
          <t>Punto de Acuerdo</t>
        </is>
      </c>
      <c r="G719" t="inlineStr">
        <is>
          <t>Acuerdo por el cual se aprueba el exhorto a la Coordinación General de Protección Civil y Gestión del Riesgo de Desastres y a los 212 ayuntamientos y 5 concejos municipales para reforzar acciones de prevención y supervisión en el manejo de artificios pirotécnicos</t>
        </is>
      </c>
      <c r="H719" t="n">
        <v>3</v>
      </c>
      <c r="I719" t="inlineStr">
        <is>
          <t>Seguridad Pública, Protección Civil y Narcotráfico</t>
        </is>
      </c>
      <c r="J719" t="n">
        <v>6</v>
      </c>
      <c r="K719" t="n">
        <v>0</v>
      </c>
      <c r="L719" t="n">
        <v>0</v>
      </c>
      <c r="M719" t="n">
        <v>35</v>
      </c>
      <c r="N719">
        <f>SUM(J719:M719)</f>
        <v/>
      </c>
      <c r="O719" s="4">
        <f>SUM(J719:L719)/SUM(J719:M719)</f>
        <v/>
      </c>
      <c r="P719" s="5">
        <f>MAX(J719:L719)/SUM(J719:L719)</f>
        <v/>
      </c>
    </row>
    <row r="720">
      <c r="A720" t="inlineStr">
        <is>
          <t>Segundo año</t>
        </is>
      </c>
      <c r="B720" t="inlineStr">
        <is>
          <t>Tercer periodo</t>
        </is>
      </c>
      <c r="C720" t="n">
        <v>127</v>
      </c>
      <c r="D720" t="n">
        <v>718</v>
      </c>
      <c r="E720" s="3" t="n">
        <v>46225</v>
      </c>
      <c r="F720" t="inlineStr">
        <is>
          <t>Punto de Acuerdo</t>
        </is>
      </c>
      <c r="G720" t="inlineStr">
        <is>
          <t>Acuerdo por el cual se aprueba el exhorto a la Coordinación General de Protección Civil y Gestión del Riesgo de Desastres y a los 212 ayuntamientos y 5 concejos municipales para realizar medidas de seguridad en espectáculos públicos masivos</t>
        </is>
      </c>
      <c r="H720" t="n">
        <v>3</v>
      </c>
      <c r="I720" t="inlineStr">
        <is>
          <t>Seguridad Pública, Protección Civil y Narcotráfico</t>
        </is>
      </c>
      <c r="J720" t="n">
        <v>6</v>
      </c>
      <c r="K720" t="n">
        <v>0</v>
      </c>
      <c r="L720" t="n">
        <v>0</v>
      </c>
      <c r="M720" t="n">
        <v>35</v>
      </c>
      <c r="N720">
        <f>SUM(J720:M720)</f>
        <v/>
      </c>
      <c r="O720" s="4">
        <f>SUM(J720:L720)/SUM(J720:M720)</f>
        <v/>
      </c>
      <c r="P720" s="5">
        <f>MAX(J720:L720)/SUM(J720:L720)</f>
        <v/>
      </c>
    </row>
    <row r="721">
      <c r="A721" t="inlineStr">
        <is>
          <t>Segundo año</t>
        </is>
      </c>
      <c r="B721" t="inlineStr">
        <is>
          <t>Tercer periodo</t>
        </is>
      </c>
      <c r="C721" t="n">
        <v>128</v>
      </c>
      <c r="D721" t="n">
        <v>719</v>
      </c>
      <c r="E721" s="3" t="n">
        <v>46225</v>
      </c>
      <c r="F721" t="inlineStr">
        <is>
          <t>Punto de Acuerdo</t>
        </is>
      </c>
      <c r="G721" t="inlineStr">
        <is>
          <t>Acuerdo por el cual se aprueba el exhorto a la Coordinación General de Protección Civil y Gestión del Riesgo de Desastres y a los 212 ayuntamientos y 5 concejos municipales para fortalecer acciones ante la temporada de lluvias</t>
        </is>
      </c>
      <c r="H721" t="n">
        <v>3</v>
      </c>
      <c r="I721" t="inlineStr">
        <is>
          <t>Seguridad Pública, Protección Civil y Narcotráfico</t>
        </is>
      </c>
      <c r="J721" t="n">
        <v>7</v>
      </c>
      <c r="K721" t="n">
        <v>0</v>
      </c>
      <c r="L721" t="n">
        <v>0</v>
      </c>
      <c r="M721" t="n">
        <v>34</v>
      </c>
      <c r="N721">
        <f>SUM(J721:M721)</f>
        <v/>
      </c>
      <c r="O721" s="4">
        <f>SUM(J721:L721)/SUM(J721:M721)</f>
        <v/>
      </c>
      <c r="P721" s="5">
        <f>MAX(J721:L721)/SUM(J721:L721)</f>
        <v/>
      </c>
    </row>
    <row r="722">
      <c r="A722" t="inlineStr">
        <is>
          <t>Segundo año</t>
        </is>
      </c>
      <c r="B722" t="inlineStr">
        <is>
          <t>Tercer periodo</t>
        </is>
      </c>
      <c r="C722" t="n">
        <v>129</v>
      </c>
      <c r="D722" t="n">
        <v>720</v>
      </c>
      <c r="E722" s="3" t="n">
        <v>46225</v>
      </c>
      <c r="F722" t="inlineStr">
        <is>
          <t>Punto de Acuerdo</t>
        </is>
      </c>
      <c r="G722" t="inlineStr">
        <is>
          <t>Acuerdo por el cual se aprueba el exhorto a los 212 ayuntamientos y 5 concejos municipales para actualizar sus atlas municipales de riesgos</t>
        </is>
      </c>
      <c r="H722" t="n">
        <v>3</v>
      </c>
      <c r="I722" t="inlineStr">
        <is>
          <t>Seguridad Pública, Protección Civil y Narcotráfico</t>
        </is>
      </c>
      <c r="J722" t="n">
        <v>7</v>
      </c>
      <c r="K722" t="n">
        <v>0</v>
      </c>
      <c r="L722" t="n">
        <v>0</v>
      </c>
      <c r="M722" t="n">
        <v>34</v>
      </c>
      <c r="N722">
        <f>SUM(J722:M722)</f>
        <v/>
      </c>
      <c r="O722" s="4">
        <f>SUM(J722:L722)/SUM(J722:M722)</f>
        <v/>
      </c>
      <c r="P722" s="5">
        <f>MAX(J722:L722)/SUM(J722:L722)</f>
        <v/>
      </c>
    </row>
    <row r="723">
      <c r="A723" t="inlineStr">
        <is>
          <t>Segundo año</t>
        </is>
      </c>
      <c r="B723" t="inlineStr">
        <is>
          <t>Tercer periodo</t>
        </is>
      </c>
      <c r="C723" t="n">
        <v>130</v>
      </c>
      <c r="D723" t="n">
        <v>721</v>
      </c>
      <c r="E723" s="3" t="n">
        <v>46225</v>
      </c>
      <c r="F723" t="inlineStr">
        <is>
          <t>Punto de Acuerdo</t>
        </is>
      </c>
      <c r="G723" t="inlineStr">
        <is>
          <t>Acuerdo por el cual se aprueba el exhorto a autoridades estatales y municipales para mejorar la accesibilidad y trato digno a las personas adultas mayores</t>
        </is>
      </c>
      <c r="H723" t="n">
        <v>2</v>
      </c>
      <c r="I723" t="inlineStr">
        <is>
          <t>Pobreza y Política Social</t>
        </is>
      </c>
      <c r="J723" t="n">
        <v>7</v>
      </c>
      <c r="K723" t="n">
        <v>0</v>
      </c>
      <c r="L723" t="n">
        <v>0</v>
      </c>
      <c r="M723" t="n">
        <v>34</v>
      </c>
      <c r="N723">
        <f>SUM(J723:M723)</f>
        <v/>
      </c>
      <c r="O723" s="4">
        <f>SUM(J723:L723)/SUM(J723:M723)</f>
        <v/>
      </c>
      <c r="P723" s="5">
        <f>MAX(J723:L723)/SUM(J723:L723)</f>
        <v/>
      </c>
    </row>
    <row r="724">
      <c r="A724" t="inlineStr">
        <is>
          <t>Segundo año</t>
        </is>
      </c>
      <c r="B724" t="inlineStr">
        <is>
          <t>Tercer periodo</t>
        </is>
      </c>
      <c r="C724" t="n">
        <v>131</v>
      </c>
      <c r="D724" t="n">
        <v>722</v>
      </c>
      <c r="E724" s="3" t="n">
        <v>46226</v>
      </c>
      <c r="F724" t="inlineStr">
        <is>
          <t>Punto de Acuerdo</t>
        </is>
      </c>
      <c r="G724" t="inlineStr">
        <is>
          <t>Acuerdo por el que se exhorta a los doscientos doce ayuntamientos y cinco concejos municipales, para que fortalezcan acciones de prevención y reducción de riesgos ante la temporada de lluvias</t>
        </is>
      </c>
      <c r="H724" t="n">
        <v>3</v>
      </c>
      <c r="I724" t="inlineStr">
        <is>
          <t>Seguridad Pública, Protección Civil y Narcotráfico</t>
        </is>
      </c>
      <c r="J724" t="n">
        <v>9</v>
      </c>
      <c r="K724" t="n">
        <v>0</v>
      </c>
      <c r="L724" t="n">
        <v>0</v>
      </c>
      <c r="M724" t="n">
        <v>0</v>
      </c>
      <c r="N724">
        <f>SUM(J724:M724)</f>
        <v/>
      </c>
      <c r="O724" s="4">
        <f>SUM(J724:L724)/SUM(J724:M724)</f>
        <v/>
      </c>
      <c r="P724" s="5">
        <f>MAX(J724:L724)/SUM(J724:L724)</f>
        <v/>
      </c>
    </row>
    <row r="725">
      <c r="A725" t="inlineStr">
        <is>
          <t>Segundo año</t>
        </is>
      </c>
      <c r="B725" t="inlineStr">
        <is>
          <t>Tercer periodo</t>
        </is>
      </c>
      <c r="C725" t="n">
        <v>132</v>
      </c>
      <c r="D725" t="n">
        <v>723</v>
      </c>
      <c r="E725" s="3" t="n">
        <v>46226</v>
      </c>
      <c r="F725" t="inlineStr">
        <is>
          <t>Punto de Acuerdo</t>
        </is>
      </c>
      <c r="G725" t="inlineStr">
        <is>
          <t>Acuerdo por el cual se exhorta a la Secretaría de Educación Pública del estado</t>
        </is>
      </c>
      <c r="H725" t="n">
        <v>8</v>
      </c>
      <c r="I725" t="inlineStr">
        <is>
          <t>Educación y Cultura</t>
        </is>
      </c>
      <c r="J725" t="n">
        <v>9</v>
      </c>
      <c r="K725" t="n">
        <v>0</v>
      </c>
      <c r="L725" t="n">
        <v>0</v>
      </c>
      <c r="M725" t="n">
        <v>0</v>
      </c>
      <c r="N725">
        <f>SUM(J725:M725)</f>
        <v/>
      </c>
      <c r="O725" s="4">
        <f>SUM(J725:L725)/SUM(J725:M725)</f>
        <v/>
      </c>
      <c r="P725" s="5">
        <f>MAX(J725:L725)/SUM(J725:L725)</f>
        <v/>
      </c>
    </row>
    <row r="726">
      <c r="A726" t="inlineStr">
        <is>
          <t>Segundo año</t>
        </is>
      </c>
      <c r="B726" t="inlineStr">
        <is>
          <t>Tercer periodo</t>
        </is>
      </c>
      <c r="C726" t="n">
        <v>133</v>
      </c>
      <c r="D726" t="n">
        <v>724</v>
      </c>
      <c r="E726" s="3" t="n">
        <v>46226</v>
      </c>
      <c r="F726" t="inlineStr">
        <is>
          <t>Punto de Acuerdo</t>
        </is>
      </c>
      <c r="G726" t="inlineStr">
        <is>
          <t>Acuerdo por el cual se exhorta a los doscientos doce ayuntamientos y cinco concejos municipales</t>
        </is>
      </c>
      <c r="H726" t="n">
        <v>6</v>
      </c>
      <c r="I726" t="inlineStr">
        <is>
          <t>Salud</t>
        </is>
      </c>
      <c r="J726" t="n">
        <v>9</v>
      </c>
      <c r="K726" t="n">
        <v>0</v>
      </c>
      <c r="L726" t="n">
        <v>0</v>
      </c>
      <c r="M726" t="n">
        <v>0</v>
      </c>
      <c r="N726">
        <f>SUM(J726:M726)</f>
        <v/>
      </c>
      <c r="O726" s="4">
        <f>SUM(J726:L726)/SUM(J726:M726)</f>
        <v/>
      </c>
      <c r="P726" s="5">
        <f>MAX(J726:L726)/SUM(J726:L726)</f>
        <v/>
      </c>
    </row>
    <row r="727">
      <c r="A727" t="inlineStr">
        <is>
          <t>Segundo año</t>
        </is>
      </c>
      <c r="B727" t="inlineStr">
        <is>
          <t>Tercer periodo</t>
        </is>
      </c>
      <c r="C727" t="n">
        <v>134</v>
      </c>
      <c r="D727" t="n">
        <v>725</v>
      </c>
      <c r="E727" s="3" t="n">
        <v>46226</v>
      </c>
      <c r="F727" t="inlineStr">
        <is>
          <t>Punto de Acuerdo</t>
        </is>
      </c>
      <c r="G727" t="inlineStr">
        <is>
          <t>Acuerdo por el cual se exhorta a la Secretaría de Salud del estado</t>
        </is>
      </c>
      <c r="H727" t="n">
        <v>6</v>
      </c>
      <c r="I727" t="inlineStr">
        <is>
          <t>Salud</t>
        </is>
      </c>
      <c r="J727" t="n">
        <v>9</v>
      </c>
      <c r="K727" t="n">
        <v>0</v>
      </c>
      <c r="L727" t="n">
        <v>0</v>
      </c>
      <c r="M727" t="n">
        <v>0</v>
      </c>
      <c r="N727">
        <f>SUM(J727:M727)</f>
        <v/>
      </c>
      <c r="O727" s="4">
        <f>SUM(J727:L727)/SUM(J727:M727)</f>
        <v/>
      </c>
      <c r="P727" s="5">
        <f>MAX(J727:L727)/SUM(J727:L727)</f>
        <v/>
      </c>
    </row>
    <row r="728">
      <c r="A728" t="inlineStr">
        <is>
          <t>Segundo año</t>
        </is>
      </c>
      <c r="B728" t="inlineStr">
        <is>
          <t>Tercer periodo</t>
        </is>
      </c>
      <c r="C728" t="n">
        <v>135</v>
      </c>
      <c r="D728" t="n">
        <v>726</v>
      </c>
      <c r="E728" s="3" t="n">
        <v>46226</v>
      </c>
      <c r="F728" t="inlineStr">
        <is>
          <t>Punto de Acuerdo</t>
        </is>
      </c>
      <c r="G728" t="inlineStr">
        <is>
          <t>Acuerdo por el cual se exhorta a la Secretaría de Salud del estado</t>
        </is>
      </c>
      <c r="H728" t="n">
        <v>6</v>
      </c>
      <c r="I728" t="inlineStr">
        <is>
          <t>Salud</t>
        </is>
      </c>
      <c r="J728" t="n">
        <v>9</v>
      </c>
      <c r="K728" t="n">
        <v>0</v>
      </c>
      <c r="L728" t="n">
        <v>0</v>
      </c>
      <c r="M728" t="n">
        <v>0</v>
      </c>
      <c r="N728">
        <f>SUM(J728:M728)</f>
        <v/>
      </c>
      <c r="O728" s="4">
        <f>SUM(J728:L728)/SUM(J728:M728)</f>
        <v/>
      </c>
      <c r="P728" s="5">
        <f>MAX(J728:L728)/SUM(J728:L728)</f>
        <v/>
      </c>
    </row>
    <row r="729">
      <c r="A729" t="inlineStr">
        <is>
          <t>Segundo año</t>
        </is>
      </c>
      <c r="B729" t="inlineStr">
        <is>
          <t>Tercer periodo</t>
        </is>
      </c>
      <c r="C729" t="n">
        <v>136</v>
      </c>
      <c r="D729" t="n">
        <v>727</v>
      </c>
      <c r="E729" s="3" t="n">
        <v>46226</v>
      </c>
      <c r="F729" t="inlineStr">
        <is>
          <t>Punto de Acuerdo</t>
        </is>
      </c>
      <c r="G729" t="inlineStr">
        <is>
          <t>Acuerdo por el que se convoca a una sesión extraordinaria</t>
        </is>
      </c>
      <c r="H729" t="n">
        <v>19</v>
      </c>
      <c r="I729" t="inlineStr">
        <is>
          <t>Internos del Congreso</t>
        </is>
      </c>
      <c r="J729" t="n">
        <v>9</v>
      </c>
      <c r="K729" t="n">
        <v>0</v>
      </c>
      <c r="L729" t="n">
        <v>0</v>
      </c>
      <c r="M729" t="n">
        <v>0</v>
      </c>
      <c r="N729">
        <f>SUM(J729:M729)</f>
        <v/>
      </c>
      <c r="O729" s="4">
        <f>SUM(J729:L729)/SUM(J729:M729)</f>
        <v/>
      </c>
      <c r="P729" s="5">
        <f>MAX(J729:L729)/SUM(J729:L729)</f>
        <v/>
      </c>
    </row>
    <row r="730">
      <c r="A730" t="inlineStr">
        <is>
          <t>Segundo año</t>
        </is>
      </c>
      <c r="B730" t="inlineStr">
        <is>
          <t>Tercer periodo</t>
        </is>
      </c>
      <c r="C730" t="n">
        <v>137</v>
      </c>
      <c r="D730" t="n">
        <v>728</v>
      </c>
      <c r="E730" s="3" t="n">
        <v>46227</v>
      </c>
      <c r="F730" t="inlineStr">
        <is>
          <t>Iniciativa</t>
        </is>
      </c>
      <c r="G730" t="inlineStr">
        <is>
          <t>Dictamen con minuta de decreto por el cual se adicionan diversas disposiciones a la Ley Orgánica del Poder Legislativo del Estado Libre y Soberano de y al Reglamento Interior del Honorable Congreso del Estado Libre y Soberano de</t>
        </is>
      </c>
      <c r="H730" t="n">
        <v>18</v>
      </c>
      <c r="I730" t="inlineStr">
        <is>
          <t>Administración Pública</t>
        </is>
      </c>
      <c r="J730" t="n">
        <v>27</v>
      </c>
      <c r="K730" t="n">
        <v>0</v>
      </c>
      <c r="L730" t="n">
        <v>0</v>
      </c>
      <c r="M730" t="n">
        <v>14</v>
      </c>
      <c r="N730">
        <f>SUM(J730:M730)</f>
        <v/>
      </c>
      <c r="O730" s="4">
        <f>SUM(J730:L730)/SUM(J730:M730)</f>
        <v/>
      </c>
      <c r="P730" s="5">
        <f>MAX(J730:L730)/SUM(J730:L730)</f>
        <v/>
      </c>
    </row>
    <row r="731">
      <c r="A731" t="inlineStr">
        <is>
          <t>Segundo año</t>
        </is>
      </c>
      <c r="B731" t="inlineStr">
        <is>
          <t>Tercer periodo</t>
        </is>
      </c>
      <c r="C731" t="n">
        <v>138</v>
      </c>
      <c r="D731" t="n">
        <v>729</v>
      </c>
      <c r="E731" s="3" t="n">
        <v>46227</v>
      </c>
      <c r="F731" t="inlineStr">
        <is>
          <t>Iniciativa</t>
        </is>
      </c>
      <c r="G731" t="inlineStr">
        <is>
          <t>Dictamen con minuta de decreto por el cual se derogan las fracciones XXXI y XXXII del artículo 32 de la Ley Orgánica de la Administración Pública del Estado de</t>
        </is>
      </c>
      <c r="H731" t="n">
        <v>18</v>
      </c>
      <c r="I731" t="inlineStr">
        <is>
          <t>Administración Pública</t>
        </is>
      </c>
      <c r="J731" t="n">
        <v>30</v>
      </c>
      <c r="K731" t="n">
        <v>0</v>
      </c>
      <c r="L731" t="n">
        <v>0</v>
      </c>
      <c r="M731" t="n">
        <v>11</v>
      </c>
      <c r="N731">
        <f>SUM(J731:M731)</f>
        <v/>
      </c>
      <c r="O731" s="4">
        <f>SUM(J731:L731)/SUM(J731:M731)</f>
        <v/>
      </c>
      <c r="P731" s="5">
        <f>MAX(J731:L731)/SUM(J731:L731)</f>
        <v/>
      </c>
    </row>
    <row r="732">
      <c r="A732" t="inlineStr">
        <is>
          <t>Segundo año</t>
        </is>
      </c>
      <c r="B732" t="inlineStr">
        <is>
          <t>Tercer periodo</t>
        </is>
      </c>
      <c r="C732" t="n">
        <v>139</v>
      </c>
      <c r="D732" t="n">
        <v>730</v>
      </c>
      <c r="E732" s="3" t="n">
        <v>46227</v>
      </c>
      <c r="F732" t="inlineStr">
        <is>
          <t>Iniciativa</t>
        </is>
      </c>
      <c r="G732" t="inlineStr">
        <is>
          <t>Dictamen con minuta de decreto por el cual se reforman y adicionan diversas disposiciones del Código de Instituciones y Procesos Electorales del Estado de</t>
        </is>
      </c>
      <c r="H732" t="n">
        <v>4</v>
      </c>
      <c r="I732" t="inlineStr">
        <is>
          <t>Partidos Políticos y Elecciones</t>
        </is>
      </c>
      <c r="J732" t="n">
        <v>26</v>
      </c>
      <c r="K732" t="n">
        <v>6</v>
      </c>
      <c r="L732" t="n">
        <v>0</v>
      </c>
      <c r="M732" t="n">
        <v>9</v>
      </c>
      <c r="N732">
        <f>SUM(J732:M732)</f>
        <v/>
      </c>
      <c r="O732" s="4">
        <f>SUM(J732:L732)/SUM(J732:M732)</f>
        <v/>
      </c>
      <c r="P732" s="5">
        <f>MAX(J732:L732)/SUM(J732:L732)</f>
        <v/>
      </c>
    </row>
    <row r="733">
      <c r="A733" t="inlineStr">
        <is>
          <t>Segundo año</t>
        </is>
      </c>
      <c r="B733" t="inlineStr">
        <is>
          <t>Tercer periodo</t>
        </is>
      </c>
      <c r="C733" t="n">
        <v>140</v>
      </c>
      <c r="D733" t="n">
        <v>731</v>
      </c>
      <c r="E733" s="3" t="n">
        <v>46227</v>
      </c>
      <c r="F733" t="inlineStr">
        <is>
          <t>Iniciativa</t>
        </is>
      </c>
      <c r="G733" t="inlineStr">
        <is>
          <t>Dictamen con minuta de decreto por el cual se reforman los artículos 46 y 47 de la Ley Orgánica Municipal</t>
        </is>
      </c>
      <c r="H733" t="n">
        <v>18</v>
      </c>
      <c r="I733" t="inlineStr">
        <is>
          <t>Administración Pública</t>
        </is>
      </c>
      <c r="J733" t="n">
        <v>26</v>
      </c>
      <c r="K733" t="n">
        <v>6</v>
      </c>
      <c r="L733" t="n">
        <v>0</v>
      </c>
      <c r="M733" t="n">
        <v>9</v>
      </c>
      <c r="N733">
        <f>SUM(J733:M733)</f>
        <v/>
      </c>
      <c r="O733" s="4">
        <f>SUM(J733:L733)/SUM(J733:M733)</f>
        <v/>
      </c>
      <c r="P733" s="5">
        <f>MAX(J733:L733)/SUM(J733:L733)</f>
        <v/>
      </c>
    </row>
    <row r="734">
      <c r="A734" t="inlineStr">
        <is>
          <t>Segundo año</t>
        </is>
      </c>
      <c r="B734" t="inlineStr">
        <is>
          <t>Tercer periodo</t>
        </is>
      </c>
      <c r="C734" t="n">
        <v>141</v>
      </c>
      <c r="D734" t="n">
        <v>732</v>
      </c>
      <c r="E734" s="3" t="n">
        <v>46227</v>
      </c>
      <c r="F734" t="inlineStr">
        <is>
          <t>Iniciativa</t>
        </is>
      </c>
      <c r="G734" t="inlineStr">
        <is>
          <t>Dictamen con minuta de decreto por el cual se reforman la fracción XX del artículo 3 y el 34 bis, y se adiciona el artículo 34 ter; todos de la Ley de Turismo del Estado de</t>
        </is>
      </c>
      <c r="H734" t="n">
        <v>1</v>
      </c>
      <c r="I734" t="inlineStr">
        <is>
          <t>Economía, Comercio y Competitividad</t>
        </is>
      </c>
      <c r="J734" t="n">
        <v>32</v>
      </c>
      <c r="K734" t="n">
        <v>0</v>
      </c>
      <c r="L734" t="n">
        <v>0</v>
      </c>
      <c r="M734" t="n">
        <v>9</v>
      </c>
      <c r="N734">
        <f>SUM(J734:M734)</f>
        <v/>
      </c>
      <c r="O734" s="4">
        <f>SUM(J734:L734)/SUM(J734:M734)</f>
        <v/>
      </c>
      <c r="P734" s="5">
        <f>MAX(J734:L734)/SUM(J734:L734)</f>
        <v/>
      </c>
    </row>
    <row r="735">
      <c r="A735" t="inlineStr">
        <is>
          <t>Segundo año</t>
        </is>
      </c>
      <c r="B735" t="inlineStr">
        <is>
          <t>Tercer periodo</t>
        </is>
      </c>
      <c r="C735" t="n">
        <v>142</v>
      </c>
      <c r="D735" t="n">
        <v>733</v>
      </c>
      <c r="E735" s="3" t="n">
        <v>46227</v>
      </c>
      <c r="F735" t="inlineStr">
        <is>
          <t>Iniciativa</t>
        </is>
      </c>
      <c r="G735" t="inlineStr">
        <is>
          <t>Dictamen con minuta de decreto por el cual se reforman y adicionan diversas disposiciones a la Ley de los Derechos de las Niñas, Niños y Adolescentes del Estado de ; y se reforma el artículo 82 de la Ley de Turismo del Estado de</t>
        </is>
      </c>
      <c r="H735" t="n">
        <v>2</v>
      </c>
      <c r="I735" t="inlineStr">
        <is>
          <t>Pobreza y Política Social</t>
        </is>
      </c>
      <c r="J735" t="n">
        <v>32</v>
      </c>
      <c r="K735" t="n">
        <v>0</v>
      </c>
      <c r="L735" t="n">
        <v>0</v>
      </c>
      <c r="M735" t="n">
        <v>9</v>
      </c>
      <c r="N735">
        <f>SUM(J735:M735)</f>
        <v/>
      </c>
      <c r="O735" s="4">
        <f>SUM(J735:L735)/SUM(J735:M735)</f>
        <v/>
      </c>
      <c r="P735" s="5">
        <f>MAX(J735:L735)/SUM(J735:L735)</f>
        <v/>
      </c>
    </row>
    <row r="736">
      <c r="A736" t="inlineStr">
        <is>
          <t>Segundo año</t>
        </is>
      </c>
      <c r="B736" t="inlineStr">
        <is>
          <t>Tercer periodo</t>
        </is>
      </c>
      <c r="C736" t="n">
        <v>143</v>
      </c>
      <c r="D736" t="n">
        <v>734</v>
      </c>
      <c r="E736" s="3" t="n">
        <v>46227</v>
      </c>
      <c r="F736" t="inlineStr">
        <is>
          <t>Iniciativa</t>
        </is>
      </c>
      <c r="G736" t="inlineStr">
        <is>
          <t>Dictamen con minuta de decreto por el cual se adicionan los artículos 112 bis y 112 TER, a la Ley de los Derechos de las Niñas, Niños y Adolescentes del Estado de</t>
        </is>
      </c>
      <c r="H736" t="n">
        <v>2</v>
      </c>
      <c r="I736" t="inlineStr">
        <is>
          <t>Pobreza y Política Social</t>
        </is>
      </c>
      <c r="J736" t="n">
        <v>32</v>
      </c>
      <c r="K736" t="n">
        <v>0</v>
      </c>
      <c r="L736" t="n">
        <v>0</v>
      </c>
      <c r="M736" t="n">
        <v>9</v>
      </c>
      <c r="N736">
        <f>SUM(J736:M736)</f>
        <v/>
      </c>
      <c r="O736" s="4">
        <f>SUM(J736:L736)/SUM(J736:M736)</f>
        <v/>
      </c>
      <c r="P736" s="5">
        <f>MAX(J736:L736)/SUM(J736:L736)</f>
        <v/>
      </c>
    </row>
    <row r="737">
      <c r="A737" t="inlineStr">
        <is>
          <t>Segundo año</t>
        </is>
      </c>
      <c r="B737" t="inlineStr">
        <is>
          <t>Tercer periodo</t>
        </is>
      </c>
      <c r="C737" t="n">
        <v>144</v>
      </c>
      <c r="D737" t="n">
        <v>735</v>
      </c>
      <c r="E737" s="3" t="n">
        <v>46247</v>
      </c>
      <c r="F737" t="inlineStr">
        <is>
          <t>Punto de Acuerdo</t>
        </is>
      </c>
      <c r="G737" t="inlineStr">
        <is>
          <t>Acuerdo por el cual exhorta a la Secretaría de Arte y Cultura del estado, para que, previo los requisitos de ley, solicite al Gobernador del estado la expedición de la declaratoria de patrimonio cultural de “la elaboración de los tamales de puñete de la región de Ahuacatlán, ”</t>
        </is>
      </c>
      <c r="H737" t="n">
        <v>8</v>
      </c>
      <c r="I737" t="inlineStr">
        <is>
          <t>Educación y Cultura</t>
        </is>
      </c>
      <c r="J737" t="n">
        <v>7</v>
      </c>
      <c r="K737" t="n">
        <v>0</v>
      </c>
      <c r="L737" t="n">
        <v>0</v>
      </c>
      <c r="M737" t="n">
        <v>34</v>
      </c>
      <c r="N737">
        <f>SUM(J737:M737)</f>
        <v/>
      </c>
      <c r="O737" s="4">
        <f>SUM(J737:L737)/SUM(J737:M737)</f>
        <v/>
      </c>
      <c r="P737" s="5">
        <f>MAX(J737:L737)/SUM(J737:L737)</f>
        <v/>
      </c>
    </row>
    <row r="738">
      <c r="A738" t="inlineStr">
        <is>
          <t>Segundo año</t>
        </is>
      </c>
      <c r="B738" t="inlineStr">
        <is>
          <t>Tercer periodo</t>
        </is>
      </c>
      <c r="C738" t="n">
        <v>145</v>
      </c>
      <c r="D738" t="n">
        <v>736</v>
      </c>
      <c r="E738" s="3" t="n">
        <v>46247</v>
      </c>
      <c r="F738" t="inlineStr">
        <is>
          <t>Punto de Acuerdo</t>
        </is>
      </c>
      <c r="G738" t="inlineStr">
        <is>
          <t>Acuerdo por el cual exhorta a la Secretaría de Arte y Cultura del estado, para que, previo los requisitos de ley, retome y fortalezca las acciones necesarias para solicitar al Gobernador del estado la expedición de la declaratoria de patrimonio cultural para el reconocimiento de patrimonio cultural intangible, al “festival de la luz y la vida” de Chignahuapan, ”</t>
        </is>
      </c>
      <c r="H738" t="n">
        <v>8</v>
      </c>
      <c r="I738" t="inlineStr">
        <is>
          <t>Educación y Cultura</t>
        </is>
      </c>
      <c r="J738" t="n">
        <v>7</v>
      </c>
      <c r="K738" t="n">
        <v>0</v>
      </c>
      <c r="L738" t="n">
        <v>0</v>
      </c>
      <c r="M738" t="n">
        <v>34</v>
      </c>
      <c r="N738">
        <f>SUM(J738:M738)</f>
        <v/>
      </c>
      <c r="O738" s="4">
        <f>SUM(J738:L738)/SUM(J738:M738)</f>
        <v/>
      </c>
      <c r="P738" s="5">
        <f>MAX(J738:L738)/SUM(J738:L738)</f>
        <v/>
      </c>
    </row>
    <row r="739">
      <c r="A739" t="inlineStr">
        <is>
          <t>Segundo año</t>
        </is>
      </c>
      <c r="B739" t="inlineStr">
        <is>
          <t>Tercer periodo</t>
        </is>
      </c>
      <c r="C739" t="n">
        <v>146</v>
      </c>
      <c r="D739" t="n">
        <v>737</v>
      </c>
      <c r="E739" s="3" t="n">
        <v>46247</v>
      </c>
      <c r="F739" t="inlineStr">
        <is>
          <t>Punto de Acuerdo</t>
        </is>
      </c>
      <c r="G739" t="inlineStr">
        <is>
          <t>Acuerdo por el cual exhorta a la Secretaría de Arte y Cultura del estado, para que, previo los requisitos de ley, solicite al Gobernador del estado la expedición de la declaratoria de patrimonio cultural de la “danza de los negritos”, originaria del municipio de Zoquitlán, ”</t>
        </is>
      </c>
      <c r="H739" t="n">
        <v>8</v>
      </c>
      <c r="I739" t="inlineStr">
        <is>
          <t>Educación y Cultura</t>
        </is>
      </c>
      <c r="J739" t="n">
        <v>8</v>
      </c>
      <c r="K739" t="n">
        <v>0</v>
      </c>
      <c r="L739" t="n">
        <v>0</v>
      </c>
      <c r="M739" t="n">
        <v>33</v>
      </c>
      <c r="N739">
        <f>SUM(J739:M739)</f>
        <v/>
      </c>
      <c r="O739" s="4">
        <f>SUM(J739:L739)/SUM(J739:M739)</f>
        <v/>
      </c>
      <c r="P739" s="5">
        <f>MAX(J739:L739)/SUM(J739:L739)</f>
        <v/>
      </c>
    </row>
    <row r="740">
      <c r="A740" t="inlineStr">
        <is>
          <t>Segundo año</t>
        </is>
      </c>
      <c r="B740" t="inlineStr">
        <is>
          <t>Tercer periodo</t>
        </is>
      </c>
      <c r="C740" t="n">
        <v>147</v>
      </c>
      <c r="D740" t="n">
        <v>738</v>
      </c>
      <c r="E740" s="3" t="n">
        <v>46254</v>
      </c>
      <c r="F740" t="inlineStr">
        <is>
          <t>Punto de Acuerdo</t>
        </is>
      </c>
      <c r="G740" t="inlineStr">
        <is>
          <t>Acuerdo por el cual el contenido del acta de la sesión del trece de agosto ha sido aprobado</t>
        </is>
      </c>
      <c r="H740" t="n">
        <v>19</v>
      </c>
      <c r="I740" t="inlineStr">
        <is>
          <t>Internos del Congreso</t>
        </is>
      </c>
      <c r="J740" t="n">
        <v>7</v>
      </c>
      <c r="K740" t="n">
        <v>0</v>
      </c>
      <c r="L740" t="n">
        <v>0</v>
      </c>
      <c r="M740" t="n">
        <v>0</v>
      </c>
      <c r="N740">
        <f>SUM(J740:M740)</f>
        <v/>
      </c>
      <c r="O740" s="4">
        <f>SUM(J740:L740)/SUM(J740:M740)</f>
        <v/>
      </c>
      <c r="P740" s="5">
        <f>MAX(J740:L740)/SUM(J740:L740)</f>
        <v/>
      </c>
    </row>
    <row r="741">
      <c r="A741" t="inlineStr">
        <is>
          <t>Segundo año</t>
        </is>
      </c>
      <c r="B741" t="inlineStr">
        <is>
          <t>Tercer periodo</t>
        </is>
      </c>
      <c r="C741" t="n">
        <v>148</v>
      </c>
      <c r="D741" t="n">
        <v>739</v>
      </c>
      <c r="E741" s="3" t="n">
        <v>46261</v>
      </c>
      <c r="F741" t="inlineStr">
        <is>
          <t>Punto de Acuerdo</t>
        </is>
      </c>
      <c r="G741" t="inlineStr">
        <is>
          <t>Acuerdo por el que se exhorta a la secretaría de desarrollo económico y trabajo del estado, para que, conforme a sus atribuciones y en coordinación con las autoridades competentes fortalezca e implemente acciones permanentes de información, capacitación, asesoría y orientación dirigidas a las personas trabajadoras agrícolas del estado</t>
        </is>
      </c>
      <c r="H741" t="n">
        <v>16</v>
      </c>
      <c r="I741" t="inlineStr">
        <is>
          <t>Trabajo y Previsión Social</t>
        </is>
      </c>
      <c r="J741" t="n">
        <v>6</v>
      </c>
      <c r="K741" t="n">
        <v>0</v>
      </c>
      <c r="L741" t="n">
        <v>0</v>
      </c>
      <c r="M741" t="n">
        <v>35</v>
      </c>
      <c r="N741">
        <f>SUM(J741:M741)</f>
        <v/>
      </c>
      <c r="O741" s="4">
        <f>SUM(J741:L741)/SUM(J741:M741)</f>
        <v/>
      </c>
      <c r="P741" s="5">
        <f>MAX(J741:L741)/SUM(J741:L741)</f>
        <v/>
      </c>
    </row>
    <row r="742">
      <c r="A742" t="inlineStr">
        <is>
          <t>Segundo año</t>
        </is>
      </c>
      <c r="B742" t="inlineStr">
        <is>
          <t>Tercer periodo</t>
        </is>
      </c>
      <c r="C742" t="n">
        <v>149</v>
      </c>
      <c r="D742" t="n">
        <v>740</v>
      </c>
      <c r="E742" s="3" t="n">
        <v>46261</v>
      </c>
      <c r="F742" t="inlineStr">
        <is>
          <t>Punto de Acuerdo</t>
        </is>
      </c>
      <c r="G742" t="inlineStr">
        <is>
          <t>Acuerdo por el que se exhorta a la oficina de representación federal del trabajo de la secretaría del trabajo y previsión social (stps) en el estado, para que, conforme a sus atribuciones lleve a cabo visitas previas de orientación y vigilancia en los centros de trabajo en la entidad</t>
        </is>
      </c>
      <c r="H742" t="n">
        <v>16</v>
      </c>
      <c r="I742" t="inlineStr">
        <is>
          <t>Trabajo y Previsión Social</t>
        </is>
      </c>
      <c r="J742" t="n">
        <v>6</v>
      </c>
      <c r="K742" t="n">
        <v>0</v>
      </c>
      <c r="L742" t="n">
        <v>0</v>
      </c>
      <c r="M742" t="n">
        <v>35</v>
      </c>
      <c r="N742">
        <f>SUM(J742:M742)</f>
        <v/>
      </c>
      <c r="O742" s="4">
        <f>SUM(J742:L742)/SUM(J742:M742)</f>
        <v/>
      </c>
      <c r="P742" s="5">
        <f>MAX(J742:L742)/SUM(J742:L742)</f>
        <v/>
      </c>
    </row>
    <row r="743">
      <c r="A743" t="inlineStr">
        <is>
          <t>Segundo año</t>
        </is>
      </c>
      <c r="B743" t="inlineStr">
        <is>
          <t>Tercer periodo</t>
        </is>
      </c>
      <c r="C743" t="n">
        <v>150</v>
      </c>
      <c r="D743" t="n">
        <v>741</v>
      </c>
      <c r="E743" s="3" t="n">
        <v>46261</v>
      </c>
      <c r="F743" t="inlineStr">
        <is>
          <t>Punto de Acuerdo</t>
        </is>
      </c>
      <c r="G743" t="inlineStr">
        <is>
          <t>Acuerdo por el cual exhorta a los doscientos doce ayuntamientos y cinco concejos municipales del estado, para que, en el ámbito de sus respectivas atribuciones y en coordinación con las autoridades laborales competentes con estricto apego a los principios de legalidad</t>
        </is>
      </c>
      <c r="H743" t="n">
        <v>16</v>
      </c>
      <c r="I743" t="inlineStr">
        <is>
          <t>Trabajo y Previsión Social</t>
        </is>
      </c>
      <c r="J743" t="n">
        <v>6</v>
      </c>
      <c r="K743" t="n">
        <v>0</v>
      </c>
      <c r="L743" t="n">
        <v>0</v>
      </c>
      <c r="M743" t="n">
        <v>35</v>
      </c>
      <c r="N743">
        <f>SUM(J743:M743)</f>
        <v/>
      </c>
      <c r="O743" s="4">
        <f>SUM(J743:L743)/SUM(J743:M743)</f>
        <v/>
      </c>
      <c r="P743" s="5">
        <f>MAX(J743:L743)/SUM(J743:L743)</f>
        <v/>
      </c>
    </row>
    <row r="744">
      <c r="A744" t="inlineStr">
        <is>
          <t>Segundo año</t>
        </is>
      </c>
      <c r="B744" t="inlineStr">
        <is>
          <t>Tercer periodo</t>
        </is>
      </c>
      <c r="C744" t="n">
        <v>151</v>
      </c>
      <c r="D744" t="n">
        <v>742</v>
      </c>
      <c r="E744" s="3" t="n">
        <v>46261</v>
      </c>
      <c r="F744" t="inlineStr">
        <is>
          <t>Punto de Acuerdo</t>
        </is>
      </c>
      <c r="G744" t="inlineStr">
        <is>
          <t>Acuerdo por el que se exhorta a los doscientos doce ayuntamientos y cinco concejos municipales, así como a la secretaría de movilidad y transporte y a la secretaría de infraestructura, ambas del estado</t>
        </is>
      </c>
      <c r="H744" t="n">
        <v>11</v>
      </c>
      <c r="I744" t="inlineStr">
        <is>
          <t>Infraestructura, Movilidad y Transporte</t>
        </is>
      </c>
      <c r="J744" t="n">
        <v>6</v>
      </c>
      <c r="K744" t="n">
        <v>0</v>
      </c>
      <c r="L744" t="n">
        <v>0</v>
      </c>
      <c r="M744" t="n">
        <v>35</v>
      </c>
      <c r="N744">
        <f>SUM(J744:M744)</f>
        <v/>
      </c>
      <c r="O744" s="4">
        <f>SUM(J744:L744)/SUM(J744:M744)</f>
        <v/>
      </c>
      <c r="P744" s="5">
        <f>MAX(J744:L744)/SUM(J744:L744)</f>
        <v/>
      </c>
    </row>
    <row r="745">
      <c r="A745" t="inlineStr">
        <is>
          <t>Segundo año</t>
        </is>
      </c>
      <c r="B745" t="inlineStr">
        <is>
          <t>Tercer periodo</t>
        </is>
      </c>
      <c r="C745" t="n">
        <v>152</v>
      </c>
      <c r="D745" t="n">
        <v>743</v>
      </c>
      <c r="E745" s="3" t="n">
        <v>46261</v>
      </c>
      <c r="F745" t="inlineStr">
        <is>
          <t>Punto de Acuerdo</t>
        </is>
      </c>
      <c r="G745" t="inlineStr">
        <is>
          <t>Acuerdo por el que se exhorta a la secretaría de movilidad y transporte del estado de , para que, en el ámbito de su competencia, realice revisiones periódicas, para verificar la difusión y cumplimiento de las tarifas máximas autorizadas para los servicios de arrastre</t>
        </is>
      </c>
      <c r="H745" t="n">
        <v>11</v>
      </c>
      <c r="I745" t="inlineStr">
        <is>
          <t>Infraestructura, Movilidad y Transporte</t>
        </is>
      </c>
      <c r="J745" t="n">
        <v>6</v>
      </c>
      <c r="K745" t="n">
        <v>0</v>
      </c>
      <c r="L745" t="n">
        <v>0</v>
      </c>
      <c r="M745" t="n">
        <v>35</v>
      </c>
      <c r="N745">
        <f>SUM(J745:M745)</f>
        <v/>
      </c>
      <c r="O745" s="4">
        <f>SUM(J745:L745)/SUM(J745:M745)</f>
        <v/>
      </c>
      <c r="P745" s="5">
        <f>MAX(J745:L745)/SUM(J745:L745)</f>
        <v/>
      </c>
    </row>
    <row r="746">
      <c r="A746" t="inlineStr">
        <is>
          <t>Segundo año</t>
        </is>
      </c>
      <c r="B746" t="inlineStr">
        <is>
          <t>Tercer periodo</t>
        </is>
      </c>
      <c r="C746" t="n">
        <v>153</v>
      </c>
      <c r="D746" t="n">
        <v>744</v>
      </c>
      <c r="E746" s="3" t="n">
        <v>46261</v>
      </c>
      <c r="F746" t="inlineStr">
        <is>
          <t>Punto de Acuerdo</t>
        </is>
      </c>
      <c r="G746" t="inlineStr">
        <is>
          <t>Acuerdo por el que se exhorta a la gerencia divisional de distribución centro oriente de la comisión federal de electricidad, para que, en el ejercicio de sus atribuciones y en coordinación con el ayuntamiento de san sebastián tlacotepec, efectúe de manera prioritaria</t>
        </is>
      </c>
      <c r="H746" t="n">
        <v>11</v>
      </c>
      <c r="I746" t="inlineStr">
        <is>
          <t>Infraestructura, Movilidad y Transporte</t>
        </is>
      </c>
      <c r="J746" t="n">
        <v>6</v>
      </c>
      <c r="K746" t="n">
        <v>0</v>
      </c>
      <c r="L746" t="n">
        <v>0</v>
      </c>
      <c r="M746" t="n">
        <v>35</v>
      </c>
      <c r="N746">
        <f>SUM(J746:M746)</f>
        <v/>
      </c>
      <c r="O746" s="4">
        <f>SUM(J746:L746)/SUM(J746:M746)</f>
        <v/>
      </c>
      <c r="P746" s="5">
        <f>MAX(J746:L746)/SUM(J746:L746)</f>
        <v/>
      </c>
    </row>
    <row r="747">
      <c r="A747" t="inlineStr">
        <is>
          <t>Segundo año</t>
        </is>
      </c>
      <c r="B747" t="inlineStr">
        <is>
          <t>Tercer periodo</t>
        </is>
      </c>
      <c r="C747" t="n">
        <v>154</v>
      </c>
      <c r="D747" t="n">
        <v>745</v>
      </c>
      <c r="E747" s="3" t="n">
        <v>46261</v>
      </c>
      <c r="F747" t="inlineStr">
        <is>
          <t>Punto de Acuerdo</t>
        </is>
      </c>
      <c r="G747" t="inlineStr">
        <is>
          <t>Acuerdo por el que se exhorta a la secretaría de movilidad y transporte del estado, y al organismo público descentralizado denominado “carreteras de cuota- ,” para que, en coordinación con el h. ayuntamiento del municipio de y en el ámbito de sus respectivas competencias</t>
        </is>
      </c>
      <c r="H747" t="n">
        <v>11</v>
      </c>
      <c r="I747" t="inlineStr">
        <is>
          <t>Infraestructura, Movilidad y Transporte</t>
        </is>
      </c>
      <c r="J747" t="n">
        <v>7</v>
      </c>
      <c r="K747" t="n">
        <v>0</v>
      </c>
      <c r="L747" t="n">
        <v>0</v>
      </c>
      <c r="M747" t="n">
        <v>34</v>
      </c>
      <c r="N747">
        <f>SUM(J747:M747)</f>
        <v/>
      </c>
      <c r="O747" s="4">
        <f>SUM(J747:L747)/SUM(J747:M747)</f>
        <v/>
      </c>
      <c r="P747" s="5">
        <f>MAX(J747:L747)/SUM(J747:L747)</f>
        <v/>
      </c>
    </row>
    <row r="748">
      <c r="A748" t="inlineStr">
        <is>
          <t>Segundo año</t>
        </is>
      </c>
      <c r="B748" t="inlineStr">
        <is>
          <t>Tercer periodo</t>
        </is>
      </c>
      <c r="C748" t="n">
        <v>155</v>
      </c>
      <c r="D748" t="n">
        <v>746</v>
      </c>
      <c r="E748" s="3" t="n">
        <v>46261</v>
      </c>
      <c r="F748" t="inlineStr">
        <is>
          <t>Punto de Acuerdo</t>
        </is>
      </c>
      <c r="G748" t="inlineStr">
        <is>
          <t>Acuerdo por el que se exhorta a la secretaría de infraestructura del estado para que, en el ámbito de sus atribuciones y conforme a la disponibilidad presupuestal, implemente y ejecute acciones de mantenimiento, rehabilitación y conservación preventiva en la carretera estatal tehuacán–teotitlán</t>
        </is>
      </c>
      <c r="H748" t="n">
        <v>11</v>
      </c>
      <c r="I748" t="inlineStr">
        <is>
          <t>Infraestructura, Movilidad y Transporte</t>
        </is>
      </c>
      <c r="J748" t="n">
        <v>7</v>
      </c>
      <c r="K748" t="n">
        <v>0</v>
      </c>
      <c r="L748" t="n">
        <v>0</v>
      </c>
      <c r="M748" t="n">
        <v>34</v>
      </c>
      <c r="N748">
        <f>SUM(J748:M748)</f>
        <v/>
      </c>
      <c r="O748" s="4">
        <f>SUM(J748:L748)/SUM(J748:M748)</f>
        <v/>
      </c>
      <c r="P748" s="5">
        <f>MAX(J748:L748)/SUM(J748:L748)</f>
        <v/>
      </c>
    </row>
    <row r="749">
      <c r="A749" t="inlineStr">
        <is>
          <t>Segundo año</t>
        </is>
      </c>
      <c r="B749" t="inlineStr">
        <is>
          <t>Tercer periodo</t>
        </is>
      </c>
      <c r="C749" t="n">
        <v>156</v>
      </c>
      <c r="D749" t="n">
        <v>747</v>
      </c>
      <c r="E749" s="3" t="n">
        <v>46261</v>
      </c>
      <c r="F749" t="inlineStr">
        <is>
          <t>Punto de Acuerdo</t>
        </is>
      </c>
      <c r="G749" t="inlineStr">
        <is>
          <t>Acuerdo por el que se exhorta a la fiscalía general del estado, para que, en el ámbito de sus atribuciones, fortalezca y, en su caso, incremente la presencia y disponibilidad del personal médico legista en los anfiteatros (semefo) adscritos a las distintas regiones operativas de la entidad</t>
        </is>
      </c>
      <c r="H749" t="n">
        <v>14</v>
      </c>
      <c r="I749" t="inlineStr">
        <is>
          <t>Justicia y Estado de Derecho</t>
        </is>
      </c>
      <c r="J749" t="n">
        <v>7</v>
      </c>
      <c r="K749" t="n">
        <v>0</v>
      </c>
      <c r="L749" t="n">
        <v>0</v>
      </c>
      <c r="M749" t="n">
        <v>34</v>
      </c>
      <c r="N749">
        <f>SUM(J749:M749)</f>
        <v/>
      </c>
      <c r="O749" s="4">
        <f>SUM(J749:L749)/SUM(J749:M749)</f>
        <v/>
      </c>
      <c r="P749" s="5">
        <f>MAX(J749:L749)/SUM(J749:L749)</f>
        <v/>
      </c>
    </row>
    <row r="750">
      <c r="A750" t="inlineStr">
        <is>
          <t>Segundo año</t>
        </is>
      </c>
      <c r="B750" t="inlineStr">
        <is>
          <t>Tercer periodo</t>
        </is>
      </c>
      <c r="C750" t="n">
        <v>157</v>
      </c>
      <c r="D750" t="n">
        <v>748</v>
      </c>
      <c r="E750" s="3" t="n">
        <v>46261</v>
      </c>
      <c r="F750" t="inlineStr">
        <is>
          <t>Punto de Acuerdo</t>
        </is>
      </c>
      <c r="G750" t="inlineStr">
        <is>
          <t>Acuerdo por el que se exhorta a la fiscalía general del estado de , para que, en el ámbito de sus atribuciones, implemente las acciones necesarias para garantizar la disponibilidad permanente de personas intérpretes y traductoras de lenguas indígenas en las fiscalías regionales</t>
        </is>
      </c>
      <c r="H750" t="n">
        <v>14</v>
      </c>
      <c r="I750" t="inlineStr">
        <is>
          <t>Justicia y Estado de Derecho</t>
        </is>
      </c>
      <c r="J750" t="n">
        <v>7</v>
      </c>
      <c r="K750" t="n">
        <v>0</v>
      </c>
      <c r="L750" t="n">
        <v>0</v>
      </c>
      <c r="M750" t="n">
        <v>34</v>
      </c>
      <c r="N750">
        <f>SUM(J750:M750)</f>
        <v/>
      </c>
      <c r="O750" s="4">
        <f>SUM(J750:L750)/SUM(J750:M750)</f>
        <v/>
      </c>
      <c r="P750" s="5">
        <f>MAX(J750:L750)/SUM(J750:L750)</f>
        <v/>
      </c>
    </row>
    <row r="751">
      <c r="A751" t="inlineStr">
        <is>
          <t>Segundo año</t>
        </is>
      </c>
      <c r="B751" t="inlineStr">
        <is>
          <t>Tercer periodo</t>
        </is>
      </c>
      <c r="C751" t="n">
        <v>158</v>
      </c>
      <c r="D751" t="n">
        <v>749</v>
      </c>
      <c r="E751" s="3" t="n">
        <v>46268</v>
      </c>
      <c r="F751" t="inlineStr">
        <is>
          <t>Punto de Acuerdo</t>
        </is>
      </c>
      <c r="G751" t="inlineStr">
        <is>
          <t>Acuerdo por el que se exhorta a la secretaría de desarrollo turístico, protección civil y ayuntamientos sobre seguridad en atractivos turísticos</t>
        </is>
      </c>
      <c r="H751" t="n">
        <v>11</v>
      </c>
      <c r="I751" t="inlineStr">
        <is>
          <t>Infraestructura, Movilidad y Transporte</t>
        </is>
      </c>
      <c r="J751" t="n">
        <v>8</v>
      </c>
      <c r="K751" t="n">
        <v>0</v>
      </c>
      <c r="L751" t="n">
        <v>0</v>
      </c>
      <c r="M751" t="n">
        <v>0</v>
      </c>
      <c r="N751">
        <f>SUM(J751:M751)</f>
        <v/>
      </c>
      <c r="O751" s="4">
        <f>SUM(J751:L751)/SUM(J751:M751)</f>
        <v/>
      </c>
      <c r="P751" s="5">
        <f>MAX(J751:L751)/SUM(J751:L751)</f>
        <v/>
      </c>
    </row>
    <row r="752">
      <c r="A752" t="inlineStr">
        <is>
          <t>Segundo año</t>
        </is>
      </c>
      <c r="B752" t="inlineStr">
        <is>
          <t>Tercer periodo</t>
        </is>
      </c>
      <c r="C752" t="n">
        <v>159</v>
      </c>
      <c r="D752" t="n">
        <v>750</v>
      </c>
      <c r="E752" s="3" t="n">
        <v>46268</v>
      </c>
      <c r="F752" t="inlineStr">
        <is>
          <t>Punto de Acuerdo</t>
        </is>
      </c>
      <c r="G752" t="inlineStr">
        <is>
          <t>Acuerdo por el que se exhorta a la secretaría de desarrollo turístico y ayuntamientos a fortalecer la promoción turística e inclusión</t>
        </is>
      </c>
      <c r="H752" t="n">
        <v>11</v>
      </c>
      <c r="I752" t="inlineStr">
        <is>
          <t>Infraestructura, Movilidad y Transporte</t>
        </is>
      </c>
      <c r="J752" t="n">
        <v>8</v>
      </c>
      <c r="K752" t="n">
        <v>0</v>
      </c>
      <c r="L752" t="n">
        <v>0</v>
      </c>
      <c r="M752" t="n">
        <v>0</v>
      </c>
      <c r="N752">
        <f>SUM(J752:M752)</f>
        <v/>
      </c>
      <c r="O752" s="4">
        <f>SUM(J752:L752)/SUM(J752:M752)</f>
        <v/>
      </c>
      <c r="P752" s="5">
        <f>MAX(J752:L752)/SUM(J752:L752)</f>
        <v/>
      </c>
    </row>
    <row r="753">
      <c r="A753" t="inlineStr">
        <is>
          <t>Segundo año</t>
        </is>
      </c>
      <c r="B753" t="inlineStr">
        <is>
          <t>Tercer periodo</t>
        </is>
      </c>
      <c r="C753" t="n">
        <v>160</v>
      </c>
      <c r="D753" t="n">
        <v>751</v>
      </c>
      <c r="E753" s="3" t="n">
        <v>46268</v>
      </c>
      <c r="F753" t="inlineStr">
        <is>
          <t>Punto de Acuerdo</t>
        </is>
      </c>
      <c r="G753" t="inlineStr">
        <is>
          <t>Acuerdo por el que se exhorta a los ayuntamientos a incluir medidas preventivas contra el fenómeno El Niño en atlas de riesgos</t>
        </is>
      </c>
      <c r="H753" t="n">
        <v>3</v>
      </c>
      <c r="I753" t="inlineStr">
        <is>
          <t>Seguridad Pública, Protección Civil y Narcotráfico</t>
        </is>
      </c>
      <c r="J753" t="n">
        <v>8</v>
      </c>
      <c r="K753" t="n">
        <v>0</v>
      </c>
      <c r="L753" t="n">
        <v>0</v>
      </c>
      <c r="M753" t="n">
        <v>0</v>
      </c>
      <c r="N753">
        <f>SUM(J753:M753)</f>
        <v/>
      </c>
      <c r="O753" s="4">
        <f>SUM(J753:L753)/SUM(J753:M753)</f>
        <v/>
      </c>
      <c r="P753" s="5">
        <f>MAX(J753:L753)/SUM(J753:L753)</f>
        <v/>
      </c>
    </row>
    <row r="754">
      <c r="A754" t="inlineStr">
        <is>
          <t>Segundo año</t>
        </is>
      </c>
      <c r="B754" t="inlineStr">
        <is>
          <t>Tercer periodo</t>
        </is>
      </c>
      <c r="C754" t="n">
        <v>161</v>
      </c>
      <c r="D754" t="n">
        <v>752</v>
      </c>
      <c r="E754" s="3" t="n">
        <v>46268</v>
      </c>
      <c r="F754" t="inlineStr">
        <is>
          <t>Punto de Acuerdo</t>
        </is>
      </c>
      <c r="G754" t="inlineStr">
        <is>
          <t>Acuerdo por el que se exhorta a secretarías y ayuntamientos a prevenir incendios por quema de pastizales</t>
        </is>
      </c>
      <c r="H754" t="n">
        <v>3</v>
      </c>
      <c r="I754" t="inlineStr">
        <is>
          <t>Seguridad Pública, Protección Civil y Narcotráfico</t>
        </is>
      </c>
      <c r="J754" t="n">
        <v>8</v>
      </c>
      <c r="K754" t="n">
        <v>0</v>
      </c>
      <c r="L754" t="n">
        <v>0</v>
      </c>
      <c r="M754" t="n">
        <v>0</v>
      </c>
      <c r="N754">
        <f>SUM(J754:M754)</f>
        <v/>
      </c>
      <c r="O754" s="4">
        <f>SUM(J754:L754)/SUM(J754:M754)</f>
        <v/>
      </c>
      <c r="P754" s="5">
        <f>MAX(J754:L754)/SUM(J754:L754)</f>
        <v/>
      </c>
    </row>
    <row r="755">
      <c r="A755" t="inlineStr">
        <is>
          <t>Segundo año</t>
        </is>
      </c>
      <c r="B755" t="inlineStr">
        <is>
          <t>Tercer periodo</t>
        </is>
      </c>
      <c r="C755" t="n">
        <v>162</v>
      </c>
      <c r="D755" t="n">
        <v>753</v>
      </c>
      <c r="E755" s="3" t="n">
        <v>46268</v>
      </c>
      <c r="F755" t="inlineStr">
        <is>
          <t>Punto de Acuerdo</t>
        </is>
      </c>
      <c r="G755" t="inlineStr">
        <is>
          <t>Acuerdo por el que se exhorta a la coordinación de protección civil a prevenir incendios en casa habitación</t>
        </is>
      </c>
      <c r="H755" t="n">
        <v>3</v>
      </c>
      <c r="I755" t="inlineStr">
        <is>
          <t>Seguridad Pública, Protección Civil y Narcotráfico</t>
        </is>
      </c>
      <c r="J755" t="n">
        <v>8</v>
      </c>
      <c r="K755" t="n">
        <v>0</v>
      </c>
      <c r="L755" t="n">
        <v>0</v>
      </c>
      <c r="M755" t="n">
        <v>0</v>
      </c>
      <c r="N755">
        <f>SUM(J755:M755)</f>
        <v/>
      </c>
      <c r="O755" s="4">
        <f>SUM(J755:L755)/SUM(J755:M755)</f>
        <v/>
      </c>
      <c r="P755" s="5">
        <f>MAX(J755:L755)/SUM(J755:L755)</f>
        <v/>
      </c>
    </row>
    <row r="756">
      <c r="A756" t="inlineStr">
        <is>
          <t>Segundo año</t>
        </is>
      </c>
      <c r="B756" t="inlineStr">
        <is>
          <t>Tercer periodo</t>
        </is>
      </c>
      <c r="C756" t="n">
        <v>163</v>
      </c>
      <c r="D756" t="n">
        <v>754</v>
      </c>
      <c r="E756" s="3" t="n">
        <v>46268</v>
      </c>
      <c r="F756" t="inlineStr">
        <is>
          <t>Punto de Acuerdo</t>
        </is>
      </c>
      <c r="G756" t="inlineStr">
        <is>
          <t>Acuerdo por el que se exhorta a los ayuntamientos a cumplir con la paridad de género en cargos públicos</t>
        </is>
      </c>
      <c r="H756" t="n">
        <v>20</v>
      </c>
      <c r="I756" t="inlineStr">
        <is>
          <t>Justicia y Estado de Derecho en temas de Mujeres</t>
        </is>
      </c>
      <c r="J756" t="n">
        <v>8</v>
      </c>
      <c r="K756" t="n">
        <v>0</v>
      </c>
      <c r="L756" t="n">
        <v>0</v>
      </c>
      <c r="M756" t="n">
        <v>0</v>
      </c>
      <c r="N756">
        <f>SUM(J756:M756)</f>
        <v/>
      </c>
      <c r="O756" s="4">
        <f>SUM(J756:L756)/SUM(J756:M756)</f>
        <v/>
      </c>
      <c r="P756" s="5">
        <f>MAX(J756:L756)/SUM(J756:L756)</f>
        <v/>
      </c>
    </row>
    <row r="757">
      <c r="A757" t="inlineStr">
        <is>
          <t>Segundo año</t>
        </is>
      </c>
      <c r="B757" t="inlineStr">
        <is>
          <t>Tercer periodo</t>
        </is>
      </c>
      <c r="C757" t="n">
        <v>164</v>
      </c>
      <c r="D757" t="n">
        <v>755</v>
      </c>
      <c r="E757" s="3" t="n">
        <v>46268</v>
      </c>
      <c r="F757" t="inlineStr">
        <is>
          <t>Punto de Acuerdo</t>
        </is>
      </c>
      <c r="G757" t="inlineStr">
        <is>
          <t>Acuerdo por el que se exhorta a dependencias y ayuntamientos a prevenir la violencia familiar</t>
        </is>
      </c>
      <c r="H757" t="n">
        <v>20</v>
      </c>
      <c r="I757" t="inlineStr">
        <is>
          <t>Justicia y Estado de Derecho en temas de Mujeres</t>
        </is>
      </c>
      <c r="J757" t="n">
        <v>8</v>
      </c>
      <c r="K757" t="n">
        <v>0</v>
      </c>
      <c r="L757" t="n">
        <v>0</v>
      </c>
      <c r="M757" t="n">
        <v>0</v>
      </c>
      <c r="N757">
        <f>SUM(J757:M757)</f>
        <v/>
      </c>
      <c r="O757" s="4">
        <f>SUM(J757:L757)/SUM(J757:M757)</f>
        <v/>
      </c>
      <c r="P757" s="5">
        <f>MAX(J757:L757)/SUM(J757:L757)</f>
        <v/>
      </c>
    </row>
    <row r="758">
      <c r="A758" t="inlineStr">
        <is>
          <t>Segundo año</t>
        </is>
      </c>
      <c r="B758" t="inlineStr">
        <is>
          <t>Tercer periodo</t>
        </is>
      </c>
      <c r="C758" t="n">
        <v>165</v>
      </c>
      <c r="D758" t="n">
        <v>756</v>
      </c>
      <c r="E758" s="3" t="n">
        <v>46268</v>
      </c>
      <c r="F758" t="inlineStr">
        <is>
          <t>Punto de Acuerdo</t>
        </is>
      </c>
      <c r="G758" t="inlineStr">
        <is>
          <t>Acuerdo por el que se exhorta a dependencias y ayuntamientos a promover la higiene menstrual digna</t>
        </is>
      </c>
      <c r="H758" t="n">
        <v>20</v>
      </c>
      <c r="I758" t="inlineStr">
        <is>
          <t>Justicia y Estado de Derecho en temas de Mujeres</t>
        </is>
      </c>
      <c r="J758" t="n">
        <v>9</v>
      </c>
      <c r="K758" t="n">
        <v>0</v>
      </c>
      <c r="L758" t="n">
        <v>0</v>
      </c>
      <c r="M758" t="n">
        <v>0</v>
      </c>
      <c r="N758">
        <f>SUM(J758:M758)</f>
        <v/>
      </c>
      <c r="O758" s="4">
        <f>SUM(J758:L758)/SUM(J758:M758)</f>
        <v/>
      </c>
      <c r="P758" s="5">
        <f>MAX(J758:L758)/SUM(J758:L758)</f>
        <v/>
      </c>
    </row>
    <row r="759">
      <c r="A759" t="inlineStr">
        <is>
          <t>Segundo año</t>
        </is>
      </c>
      <c r="B759" t="inlineStr">
        <is>
          <t>Tercer periodo</t>
        </is>
      </c>
      <c r="C759" t="n">
        <v>166</v>
      </c>
      <c r="D759" t="n">
        <v>757</v>
      </c>
      <c r="E759" s="3" t="n">
        <v>46268</v>
      </c>
      <c r="F759" t="inlineStr">
        <is>
          <t>Punto de Acuerdo</t>
        </is>
      </c>
      <c r="G759" t="inlineStr">
        <is>
          <t>Acuerdo por el que se exhorta a la secretaría de salud a mejorar la atención de adultos mayores</t>
        </is>
      </c>
      <c r="H759" t="n">
        <v>6</v>
      </c>
      <c r="I759" t="inlineStr">
        <is>
          <t>Salud</t>
        </is>
      </c>
      <c r="J759" t="n">
        <v>9</v>
      </c>
      <c r="K759" t="n">
        <v>0</v>
      </c>
      <c r="L759" t="n">
        <v>0</v>
      </c>
      <c r="M759" t="n">
        <v>0</v>
      </c>
      <c r="N759">
        <f>SUM(J759:M759)</f>
        <v/>
      </c>
      <c r="O759" s="4">
        <f>SUM(J759:L759)/SUM(J759:M759)</f>
        <v/>
      </c>
      <c r="P759" s="5">
        <f>MAX(J759:L759)/SUM(J759:L759)</f>
        <v/>
      </c>
    </row>
    <row r="760">
      <c r="A760" t="inlineStr">
        <is>
          <t>Segundo año</t>
        </is>
      </c>
      <c r="B760" t="inlineStr">
        <is>
          <t>Tercer periodo</t>
        </is>
      </c>
      <c r="C760" t="n">
        <v>167</v>
      </c>
      <c r="D760" t="n">
        <v>758</v>
      </c>
      <c r="E760" s="3" t="n">
        <v>46268</v>
      </c>
      <c r="F760" t="inlineStr">
        <is>
          <t>Punto de Acuerdo</t>
        </is>
      </c>
      <c r="G760" t="inlineStr">
        <is>
          <t>Acuerdo por el que se exhorta a la secretaría de salud y ayuntamientos a difundir jornadas de vacunación</t>
        </is>
      </c>
      <c r="H760" t="n">
        <v>6</v>
      </c>
      <c r="I760" t="inlineStr">
        <is>
          <t>Salud</t>
        </is>
      </c>
      <c r="J760" t="n">
        <v>9</v>
      </c>
      <c r="K760" t="n">
        <v>0</v>
      </c>
      <c r="L760" t="n">
        <v>0</v>
      </c>
      <c r="M760" t="n">
        <v>0</v>
      </c>
      <c r="N760">
        <f>SUM(J760:M760)</f>
        <v/>
      </c>
      <c r="O760" s="4">
        <f>SUM(J760:L760)/SUM(J760:M760)</f>
        <v/>
      </c>
      <c r="P760" s="5">
        <f>MAX(J760:L760)/SUM(J760:L760)</f>
        <v/>
      </c>
    </row>
    <row r="761">
      <c r="A761" t="inlineStr">
        <is>
          <t>Segundo año</t>
        </is>
      </c>
      <c r="B761" t="inlineStr">
        <is>
          <t>Tercer periodo</t>
        </is>
      </c>
      <c r="C761" t="n">
        <v>168</v>
      </c>
      <c r="D761" t="n">
        <v>759</v>
      </c>
      <c r="E761" s="3" t="n">
        <v>46268</v>
      </c>
      <c r="F761" t="inlineStr">
        <is>
          <t>Punto de Acuerdo</t>
        </is>
      </c>
      <c r="G761" t="inlineStr">
        <is>
          <t>Acuerdo por el que se exhorta a la secretaría de salud a informar sobre riesgos del consumo de sal</t>
        </is>
      </c>
      <c r="H761" t="n">
        <v>6</v>
      </c>
      <c r="I761" t="inlineStr">
        <is>
          <t>Salud</t>
        </is>
      </c>
      <c r="J761" t="n">
        <v>9</v>
      </c>
      <c r="K761" t="n">
        <v>0</v>
      </c>
      <c r="L761" t="n">
        <v>0</v>
      </c>
      <c r="M761" t="n">
        <v>0</v>
      </c>
      <c r="N761">
        <f>SUM(J761:M761)</f>
        <v/>
      </c>
      <c r="O761" s="4">
        <f>SUM(J761:L761)/SUM(J761:M761)</f>
        <v/>
      </c>
      <c r="P761" s="5">
        <f>MAX(J761:L761)/SUM(J761:L761)</f>
        <v/>
      </c>
    </row>
    <row r="762">
      <c r="A762" t="inlineStr">
        <is>
          <t>Segundo año</t>
        </is>
      </c>
      <c r="B762" t="inlineStr">
        <is>
          <t>Tercer periodo</t>
        </is>
      </c>
      <c r="C762" t="n">
        <v>169</v>
      </c>
      <c r="D762" t="n">
        <v>760</v>
      </c>
      <c r="E762" s="3" t="n">
        <v>46268</v>
      </c>
      <c r="F762" t="inlineStr">
        <is>
          <t>Punto de Acuerdo</t>
        </is>
      </c>
      <c r="G762" t="inlineStr">
        <is>
          <t>Acuerdo por el que se exhorta a promover el uso ético de la inteligencia artificial</t>
        </is>
      </c>
      <c r="H762" t="n">
        <v>18</v>
      </c>
      <c r="I762" t="inlineStr">
        <is>
          <t>Administración Pública</t>
        </is>
      </c>
      <c r="J762" t="n">
        <v>9</v>
      </c>
      <c r="K762" t="n">
        <v>0</v>
      </c>
      <c r="L762" t="n">
        <v>0</v>
      </c>
      <c r="M762" t="n">
        <v>0</v>
      </c>
      <c r="N762">
        <f>SUM(J762:M762)</f>
        <v/>
      </c>
      <c r="O762" s="4">
        <f>SUM(J762:L762)/SUM(J762:M762)</f>
        <v/>
      </c>
      <c r="P762" s="5">
        <f>MAX(J762:L762)/SUM(J762:L762)</f>
        <v/>
      </c>
    </row>
    <row r="763">
      <c r="A763" t="inlineStr">
        <is>
          <t>Segundo año</t>
        </is>
      </c>
      <c r="B763" t="inlineStr">
        <is>
          <t>Tercer periodo</t>
        </is>
      </c>
      <c r="C763" t="n">
        <v>170</v>
      </c>
      <c r="D763" t="n">
        <v>761</v>
      </c>
      <c r="E763" s="3" t="n">
        <v>46268</v>
      </c>
      <c r="F763" t="inlineStr">
        <is>
          <t>Punto de Acuerdo</t>
        </is>
      </c>
      <c r="G763" t="inlineStr">
        <is>
          <t>Acuerdo por el que se exhorta a ayuntamientos y al inah a regular el acceso a los túneles de Cholula</t>
        </is>
      </c>
      <c r="H763" t="n">
        <v>11</v>
      </c>
      <c r="I763" t="inlineStr">
        <is>
          <t>Infraestructura, Movilidad y Transporte</t>
        </is>
      </c>
      <c r="J763" t="n">
        <v>9</v>
      </c>
      <c r="K763" t="n">
        <v>0</v>
      </c>
      <c r="L763" t="n">
        <v>0</v>
      </c>
      <c r="M763" t="n">
        <v>0</v>
      </c>
      <c r="N763">
        <f>SUM(J763:M763)</f>
        <v/>
      </c>
      <c r="O763" s="4">
        <f>SUM(J763:L763)/SUM(J763:M763)</f>
        <v/>
      </c>
      <c r="P763" s="5">
        <f>MAX(J763:L763)/SUM(J763:L763)</f>
        <v/>
      </c>
    </row>
    <row r="764">
      <c r="A764" t="inlineStr">
        <is>
          <t>Segundo año</t>
        </is>
      </c>
      <c r="B764" t="inlineStr">
        <is>
          <t>Tercer periodo</t>
        </is>
      </c>
      <c r="C764" t="n">
        <v>171</v>
      </c>
      <c r="D764" t="n">
        <v>762</v>
      </c>
      <c r="E764" s="3" t="n">
        <v>46268</v>
      </c>
      <c r="F764" t="inlineStr">
        <is>
          <t>Punto de Acuerdo</t>
        </is>
      </c>
      <c r="G764" t="inlineStr">
        <is>
          <t>Acuerdo por el que se exhorta a ayuntamientos a retirar vehículos abandonados en vía pública</t>
        </is>
      </c>
      <c r="H764" t="n">
        <v>11</v>
      </c>
      <c r="I764" t="inlineStr">
        <is>
          <t>Infraestructura, Movilidad y Transporte</t>
        </is>
      </c>
      <c r="J764" t="n">
        <v>9</v>
      </c>
      <c r="K764" t="n">
        <v>0</v>
      </c>
      <c r="L764" t="n">
        <v>0</v>
      </c>
      <c r="M764" t="n">
        <v>0</v>
      </c>
      <c r="N764">
        <f>SUM(J764:M764)</f>
        <v/>
      </c>
      <c r="O764" s="4">
        <f>SUM(J764:L764)/SUM(J764:M764)</f>
        <v/>
      </c>
      <c r="P764" s="5">
        <f>MAX(J764:L764)/SUM(J764:L764)</f>
        <v/>
      </c>
    </row>
    <row r="765">
      <c r="A765" t="inlineStr">
        <is>
          <t>Segundo año</t>
        </is>
      </c>
      <c r="B765" t="inlineStr">
        <is>
          <t>Tercer periodo</t>
        </is>
      </c>
      <c r="C765" t="n">
        <v>172</v>
      </c>
      <c r="D765" t="n">
        <v>763</v>
      </c>
      <c r="E765" s="3" t="n">
        <v>46268</v>
      </c>
      <c r="F765" t="inlineStr">
        <is>
          <t>Punto de Acuerdo</t>
        </is>
      </c>
      <c r="G765" t="inlineStr">
        <is>
          <t>Acuerdo por el que se exhorta a la rehabilitación y rescate del teatro popular José Recek Saade</t>
        </is>
      </c>
      <c r="H765" t="n">
        <v>8</v>
      </c>
      <c r="I765" t="inlineStr">
        <is>
          <t>Educación y Cultura</t>
        </is>
      </c>
      <c r="J765" t="n">
        <v>9</v>
      </c>
      <c r="K765" t="n">
        <v>0</v>
      </c>
      <c r="L765" t="n">
        <v>0</v>
      </c>
      <c r="M765" t="n">
        <v>0</v>
      </c>
      <c r="N765">
        <f>SUM(J765:M765)</f>
        <v/>
      </c>
      <c r="O765" s="4">
        <f>SUM(J765:L765)/SUM(J765:M765)</f>
        <v/>
      </c>
      <c r="P765" s="5">
        <f>MAX(J765:L765)/SUM(J765:L765)</f>
        <v/>
      </c>
    </row>
    <row r="766">
      <c r="A766" t="inlineStr">
        <is>
          <t>Segundo año</t>
        </is>
      </c>
      <c r="B766" t="inlineStr">
        <is>
          <t>Tercer periodo</t>
        </is>
      </c>
      <c r="C766" t="n">
        <v>173</v>
      </c>
      <c r="D766" t="n">
        <v>764</v>
      </c>
      <c r="E766" s="3" t="n">
        <v>46268</v>
      </c>
      <c r="F766" t="inlineStr">
        <is>
          <t>Punto de Acuerdo</t>
        </is>
      </c>
      <c r="G766" t="inlineStr">
        <is>
          <t>Acuerdo por el que se exhorta a ayuntamientos a homologar reglamentos de tránsito y movilidad</t>
        </is>
      </c>
      <c r="H766" t="n">
        <v>11</v>
      </c>
      <c r="I766" t="inlineStr">
        <is>
          <t>Infraestructura, Movilidad y Transporte</t>
        </is>
      </c>
      <c r="J766" t="n">
        <v>9</v>
      </c>
      <c r="K766" t="n">
        <v>0</v>
      </c>
      <c r="L766" t="n">
        <v>0</v>
      </c>
      <c r="M766" t="n">
        <v>0</v>
      </c>
      <c r="N766">
        <f>SUM(J766:M766)</f>
        <v/>
      </c>
      <c r="O766" s="4">
        <f>SUM(J766:L766)/SUM(J766:M766)</f>
        <v/>
      </c>
      <c r="P766" s="5">
        <f>MAX(J766:L766)/SUM(J766:L766)</f>
        <v/>
      </c>
    </row>
    <row r="767">
      <c r="A767" t="inlineStr">
        <is>
          <t>Segundo año</t>
        </is>
      </c>
      <c r="B767" t="inlineStr">
        <is>
          <t>Tercer periodo</t>
        </is>
      </c>
      <c r="C767" t="n">
        <v>174</v>
      </c>
      <c r="D767" t="n">
        <v>765</v>
      </c>
      <c r="E767" s="3" t="n">
        <v>46268</v>
      </c>
      <c r="F767" t="inlineStr">
        <is>
          <t>Punto de Acuerdo</t>
        </is>
      </c>
      <c r="G767" t="inlineStr">
        <is>
          <t>Acuerdo por el que se exhorta a la secretaría de educación pública a prevenir la discriminación y acoso escolar</t>
        </is>
      </c>
      <c r="H767" t="n">
        <v>8</v>
      </c>
      <c r="I767" t="inlineStr">
        <is>
          <t>Educación y Cultura</t>
        </is>
      </c>
      <c r="J767" t="n">
        <v>9</v>
      </c>
      <c r="K767" t="n">
        <v>0</v>
      </c>
      <c r="L767" t="n">
        <v>0</v>
      </c>
      <c r="M767" t="n">
        <v>0</v>
      </c>
      <c r="N767">
        <f>SUM(J767:M767)</f>
        <v/>
      </c>
      <c r="O767" s="4">
        <f>SUM(J767:L767)/SUM(J767:M767)</f>
        <v/>
      </c>
      <c r="P767" s="5">
        <f>MAX(J767:L767)/SUM(J767:L767)</f>
        <v/>
      </c>
    </row>
    <row r="768">
      <c r="A768" t="inlineStr">
        <is>
          <t>Segundo año</t>
        </is>
      </c>
      <c r="B768" t="inlineStr">
        <is>
          <t>Tercer periodo</t>
        </is>
      </c>
      <c r="C768" t="n">
        <v>175</v>
      </c>
      <c r="D768" t="n">
        <v>766</v>
      </c>
      <c r="E768" s="3" t="n">
        <v>46268</v>
      </c>
      <c r="F768" t="inlineStr">
        <is>
          <t>Punto de Acuerdo</t>
        </is>
      </c>
      <c r="G768" t="inlineStr">
        <is>
          <t>Acuerdo por el que se exhorta a promover la educación inclusiva y accesibilidad universal</t>
        </is>
      </c>
      <c r="H768" t="n">
        <v>8</v>
      </c>
      <c r="I768" t="inlineStr">
        <is>
          <t>Educación y Cultura</t>
        </is>
      </c>
      <c r="J768" t="n">
        <v>9</v>
      </c>
      <c r="K768" t="n">
        <v>0</v>
      </c>
      <c r="L768" t="n">
        <v>0</v>
      </c>
      <c r="M768" t="n">
        <v>0</v>
      </c>
      <c r="N768">
        <f>SUM(J768:M768)</f>
        <v/>
      </c>
      <c r="O768" s="4">
        <f>SUM(J768:L768)/SUM(J768:M768)</f>
        <v/>
      </c>
      <c r="P768" s="5">
        <f>MAX(J768:L768)/SUM(J768:L768)</f>
        <v/>
      </c>
    </row>
    <row r="769">
      <c r="A769" t="inlineStr">
        <is>
          <t>Segundo año</t>
        </is>
      </c>
      <c r="B769" t="inlineStr">
        <is>
          <t>Tercer periodo</t>
        </is>
      </c>
      <c r="C769" t="n">
        <v>176</v>
      </c>
      <c r="D769" t="n">
        <v>767</v>
      </c>
      <c r="E769" s="3" t="n">
        <v>46268</v>
      </c>
      <c r="F769" t="inlineStr">
        <is>
          <t>Punto de Acuerdo</t>
        </is>
      </c>
      <c r="G769" t="inlineStr">
        <is>
          <t>Acuerdo por el que se exhorta a la capacitación de productores agrícolas en conservación de suelos</t>
        </is>
      </c>
      <c r="H769" t="n">
        <v>12</v>
      </c>
      <c r="I769" t="inlineStr">
        <is>
          <t>Agricultura, Ganadería y Pesca</t>
        </is>
      </c>
      <c r="J769" t="n">
        <v>9</v>
      </c>
      <c r="K769" t="n">
        <v>0</v>
      </c>
      <c r="L769" t="n">
        <v>0</v>
      </c>
      <c r="M769" t="n">
        <v>0</v>
      </c>
      <c r="N769">
        <f>SUM(J769:M769)</f>
        <v/>
      </c>
      <c r="O769" s="4">
        <f>SUM(J769:L769)/SUM(J769:M769)</f>
        <v/>
      </c>
      <c r="P769" s="5">
        <f>MAX(J769:L769)/SUM(J769:L769)</f>
        <v/>
      </c>
    </row>
    <row r="770">
      <c r="A770" t="inlineStr">
        <is>
          <t>Segundo año</t>
        </is>
      </c>
      <c r="B770" t="inlineStr">
        <is>
          <t>Tercer periodo</t>
        </is>
      </c>
      <c r="C770" t="n">
        <v>177</v>
      </c>
      <c r="D770" t="n">
        <v>768</v>
      </c>
      <c r="E770" s="3" t="n">
        <v>46275</v>
      </c>
      <c r="F770" t="inlineStr">
        <is>
          <t>Punto de Acuerdo</t>
        </is>
      </c>
      <c r="G770" t="inlineStr">
        <is>
          <t>Acuerdo por el cual la dispensa de lectura del orden del día</t>
        </is>
      </c>
      <c r="H770" t="n">
        <v>19</v>
      </c>
      <c r="I770" t="inlineStr">
        <is>
          <t>Internos del Congreso</t>
        </is>
      </c>
      <c r="J770" t="n">
        <v>8</v>
      </c>
      <c r="K770" t="n">
        <v>0</v>
      </c>
      <c r="L770" t="n">
        <v>0</v>
      </c>
      <c r="M770" t="n">
        <v>0</v>
      </c>
      <c r="N770">
        <f>SUM(J770:M770)</f>
        <v/>
      </c>
      <c r="O770" s="4">
        <f>SUM(J770:L770)/SUM(J770:M770)</f>
        <v/>
      </c>
      <c r="P770" s="5">
        <f>MAX(J770:L770)/SUM(J770:L770)</f>
        <v/>
      </c>
    </row>
    <row r="771">
      <c r="A771" t="inlineStr">
        <is>
          <t>Segundo año</t>
        </is>
      </c>
      <c r="B771" t="inlineStr">
        <is>
          <t>Tercer periodo</t>
        </is>
      </c>
      <c r="C771" t="n">
        <v>178</v>
      </c>
      <c r="D771" t="n">
        <v>769</v>
      </c>
      <c r="E771" s="3" t="n">
        <v>46275</v>
      </c>
      <c r="F771" t="inlineStr">
        <is>
          <t>Punto de Acuerdo</t>
        </is>
      </c>
      <c r="G771" t="inlineStr">
        <is>
          <t>Acuerdo por el cual la dispensa de lectura del acta de la sesión anterior</t>
        </is>
      </c>
      <c r="H771" t="n">
        <v>19</v>
      </c>
      <c r="I771" t="inlineStr">
        <is>
          <t>Internos del Congreso</t>
        </is>
      </c>
      <c r="J771" t="n">
        <v>8</v>
      </c>
      <c r="K771" t="n">
        <v>0</v>
      </c>
      <c r="L771" t="n">
        <v>0</v>
      </c>
      <c r="M771" t="n">
        <v>0</v>
      </c>
      <c r="N771">
        <f>SUM(J771:M771)</f>
        <v/>
      </c>
      <c r="O771" s="4">
        <f>SUM(J771:L771)/SUM(J771:M771)</f>
        <v/>
      </c>
      <c r="P771" s="5">
        <f>MAX(J771:L771)/SUM(J771:L771)</f>
        <v/>
      </c>
    </row>
    <row r="772">
      <c r="A772" t="inlineStr">
        <is>
          <t>Segundo año</t>
        </is>
      </c>
      <c r="B772" t="inlineStr">
        <is>
          <t>Tercer periodo</t>
        </is>
      </c>
      <c r="C772" t="n">
        <v>179</v>
      </c>
      <c r="D772" t="n">
        <v>770</v>
      </c>
      <c r="E772" s="3" t="n">
        <v>46275</v>
      </c>
      <c r="F772" t="inlineStr">
        <is>
          <t>Punto de Acuerdo</t>
        </is>
      </c>
      <c r="G772" t="inlineStr">
        <is>
          <t>Acuerdo por el cual la aprobación del contenido del acta</t>
        </is>
      </c>
      <c r="H772" t="n">
        <v>19</v>
      </c>
      <c r="I772" t="inlineStr">
        <is>
          <t>Internos del Congreso</t>
        </is>
      </c>
      <c r="J772" t="n">
        <v>8</v>
      </c>
      <c r="K772" t="n">
        <v>0</v>
      </c>
      <c r="L772" t="n">
        <v>0</v>
      </c>
      <c r="M772" t="n">
        <v>0</v>
      </c>
      <c r="N772">
        <f>SUM(J772:M772)</f>
        <v/>
      </c>
      <c r="O772" s="4">
        <f>SUM(J772:L772)/SUM(J772:M772)</f>
        <v/>
      </c>
      <c r="P772" s="5">
        <f>MAX(J772:L772)/SUM(J772:L772)</f>
        <v/>
      </c>
    </row>
    <row r="773">
      <c r="A773" t="inlineStr">
        <is>
          <t>Segundo año</t>
        </is>
      </c>
      <c r="B773" t="inlineStr">
        <is>
          <t>Tercer periodo</t>
        </is>
      </c>
      <c r="C773" t="n">
        <v>180</v>
      </c>
      <c r="D773" t="n">
        <v>771</v>
      </c>
      <c r="E773" s="3" t="n">
        <v>46275</v>
      </c>
      <c r="F773" t="inlineStr">
        <is>
          <t>Punto de Acuerdo</t>
        </is>
      </c>
      <c r="G773" t="inlineStr">
        <is>
          <t>Acuerdo por el cual la solicitud de retiro del punto treinta del orden del día</t>
        </is>
      </c>
      <c r="H773" t="n">
        <v>19</v>
      </c>
      <c r="I773" t="inlineStr">
        <is>
          <t>Internos del Congreso</t>
        </is>
      </c>
      <c r="J773" t="n">
        <v>8</v>
      </c>
      <c r="K773" t="n">
        <v>0</v>
      </c>
      <c r="L773" t="n">
        <v>0</v>
      </c>
      <c r="M773" t="n">
        <v>0</v>
      </c>
      <c r="N773">
        <f>SUM(J773:M773)</f>
        <v/>
      </c>
      <c r="O773" s="4">
        <f>SUM(J773:L773)/SUM(J773:M773)</f>
        <v/>
      </c>
      <c r="P773" s="5">
        <f>MAX(J773:L773)/SUM(J773:L773)</f>
        <v/>
      </c>
    </row>
    <row r="774">
      <c r="A774" t="inlineStr">
        <is>
          <t>Segundo año</t>
        </is>
      </c>
      <c r="B774" t="inlineStr">
        <is>
          <t>Tercer periodo</t>
        </is>
      </c>
      <c r="C774" t="n">
        <v>181</v>
      </c>
      <c r="D774" t="n">
        <v>772</v>
      </c>
      <c r="E774" s="3" t="n">
        <v>46277</v>
      </c>
      <c r="F774" t="inlineStr">
        <is>
          <t>Punto de Acuerdo</t>
        </is>
      </c>
      <c r="G774" t="inlineStr">
        <is>
          <t>Acuerdo para la elección e integración de la primera Mesa Directiva del honorable Congreso del Estado libre y soberano de Puebla del tercer año de ejercicio legal</t>
        </is>
      </c>
      <c r="H774" t="n">
        <v>19</v>
      </c>
      <c r="I774" t="inlineStr">
        <is>
          <t>Internos del Congreso</t>
        </is>
      </c>
      <c r="J774" t="n">
        <v>38</v>
      </c>
      <c r="K774" t="n">
        <v>0</v>
      </c>
      <c r="L774" t="n">
        <v>0</v>
      </c>
      <c r="M774" t="n">
        <v>3</v>
      </c>
      <c r="N774">
        <f>SUM(J774:M774)</f>
        <v/>
      </c>
      <c r="O774" s="4">
        <f>SUM(J774:L774)/SUM(J774:M774)</f>
        <v/>
      </c>
      <c r="P774" s="5">
        <f>MAX(J774:L774)/SUM(J774:L774)</f>
        <v/>
      </c>
    </row>
    <row r="775">
      <c r="A775" t="inlineStr">
        <is>
          <t>Segundo año</t>
        </is>
      </c>
      <c r="B775" t="inlineStr">
        <is>
          <t>Tercer periodo</t>
        </is>
      </c>
      <c r="C775" t="n">
        <v>182</v>
      </c>
      <c r="D775" t="n">
        <v>773</v>
      </c>
      <c r="E775" s="3" t="n">
        <v>46277</v>
      </c>
      <c r="F775" t="inlineStr">
        <is>
          <t>Iniciativa</t>
        </is>
      </c>
      <c r="G775" t="inlineStr">
        <is>
          <t>Dictamen con minuta de decreto que presenta la Comisión de Gobernación y Puntos Constitucionales por el cual se revoca el mandato del Ayuntamiento de Acatlán</t>
        </is>
      </c>
      <c r="H775" t="n">
        <v>18</v>
      </c>
      <c r="I775" t="inlineStr">
        <is>
          <t>Administración Pública</t>
        </is>
      </c>
      <c r="J775" t="n">
        <v>36</v>
      </c>
      <c r="K775" t="n">
        <v>1</v>
      </c>
      <c r="L775" t="n">
        <v>1</v>
      </c>
      <c r="M775" t="n">
        <v>3</v>
      </c>
      <c r="N775">
        <f>SUM(J775:M775)</f>
        <v/>
      </c>
      <c r="O775" s="4">
        <f>SUM(J775:L775)/SUM(J775:M775)</f>
        <v/>
      </c>
      <c r="P775" s="5">
        <f>MAX(J775:L775)/SUM(J775:L775)</f>
        <v/>
      </c>
    </row>
    <row r="776">
      <c r="A776" t="inlineStr">
        <is>
          <t>Segundo año</t>
        </is>
      </c>
      <c r="B776" t="inlineStr">
        <is>
          <t>Tercer periodo</t>
        </is>
      </c>
      <c r="C776" t="n">
        <v>183</v>
      </c>
      <c r="D776" t="n">
        <v>774</v>
      </c>
      <c r="E776" s="3" t="n">
        <v>46277</v>
      </c>
      <c r="F776" t="inlineStr">
        <is>
          <t>Iniciativa</t>
        </is>
      </c>
      <c r="G776" t="inlineStr">
        <is>
          <t>Dictamen con minuta de decreto que presenta la Comisión de Gobernación y Puntos Constitucionales por el cual se revoca el mandato del Ayuntamiento de Esperanza</t>
        </is>
      </c>
      <c r="H776" t="n">
        <v>18</v>
      </c>
      <c r="I776" t="inlineStr">
        <is>
          <t>Administración Pública</t>
        </is>
      </c>
      <c r="J776" t="n">
        <v>33</v>
      </c>
      <c r="K776" t="n">
        <v>1</v>
      </c>
      <c r="L776" t="n">
        <v>4</v>
      </c>
      <c r="M776" t="n">
        <v>3</v>
      </c>
      <c r="N776">
        <f>SUM(J776:M776)</f>
        <v/>
      </c>
      <c r="O776" s="4">
        <f>SUM(J776:L776)/SUM(J776:M776)</f>
        <v/>
      </c>
      <c r="P776" s="5">
        <f>MAX(J776:L776)/SUM(J776:L776)</f>
        <v/>
      </c>
    </row>
    <row r="777">
      <c r="A777" t="inlineStr">
        <is>
          <t>Segundo año</t>
        </is>
      </c>
      <c r="B777" t="inlineStr">
        <is>
          <t>Tercer periodo</t>
        </is>
      </c>
      <c r="C777" t="n">
        <v>184</v>
      </c>
      <c r="D777" t="n">
        <v>775</v>
      </c>
      <c r="E777" s="3" t="n">
        <v>46277</v>
      </c>
      <c r="F777" t="inlineStr">
        <is>
          <t>Iniciativa</t>
        </is>
      </c>
      <c r="G777" t="inlineStr">
        <is>
          <t>Dictamen con minuta de decreto que presenta la Comisión de Gobernación y Puntos Constitucionales por el cual se revoca el mandato del Ayuntamiento de Tepeyahualco</t>
        </is>
      </c>
      <c r="H777" t="n">
        <v>18</v>
      </c>
      <c r="I777" t="inlineStr">
        <is>
          <t>Administración Pública</t>
        </is>
      </c>
      <c r="J777" t="n">
        <v>36</v>
      </c>
      <c r="K777" t="n">
        <v>1</v>
      </c>
      <c r="L777" t="n">
        <v>1</v>
      </c>
      <c r="M777" t="n">
        <v>3</v>
      </c>
      <c r="N777">
        <f>SUM(J777:M777)</f>
        <v/>
      </c>
      <c r="O777" s="4">
        <f>SUM(J777:L777)/SUM(J777:M777)</f>
        <v/>
      </c>
      <c r="P777" s="5">
        <f>MAX(J777:L777)/SUM(J777:L777)</f>
        <v/>
      </c>
    </row>
    <row r="778">
      <c r="A778" t="inlineStr">
        <is>
          <t>Tercer año</t>
        </is>
      </c>
      <c r="B778" t="inlineStr">
        <is>
          <t>Primer periodo</t>
        </is>
      </c>
      <c r="C778" t="n">
        <v>1</v>
      </c>
      <c r="D778" t="n">
        <v>776</v>
      </c>
      <c r="E778" s="3" t="n">
        <v>46280</v>
      </c>
      <c r="F778" t="inlineStr">
        <is>
          <t>Punto de Acuerdo</t>
        </is>
      </c>
      <c r="G778" t="inlineStr">
        <is>
          <t>Acuerdo por el cual la dispensa de lectura del orden del día</t>
        </is>
      </c>
      <c r="H778" t="n">
        <v>19</v>
      </c>
      <c r="I778" t="inlineStr">
        <is>
          <t>Internos del Congreso</t>
        </is>
      </c>
      <c r="J778" t="n">
        <v>39</v>
      </c>
      <c r="K778" t="n">
        <v>0</v>
      </c>
      <c r="L778" t="n">
        <v>0</v>
      </c>
      <c r="M778" t="n">
        <v>0</v>
      </c>
      <c r="N778">
        <f>SUM(J778:M778)</f>
        <v/>
      </c>
      <c r="O778" s="4">
        <f>SUM(J778:L778)/SUM(J778:M778)</f>
        <v/>
      </c>
      <c r="P778" s="5">
        <f>MAX(J778:L778)/SUM(J778:L778)</f>
        <v/>
      </c>
    </row>
    <row r="779">
      <c r="A779" t="inlineStr">
        <is>
          <t>Tercer año</t>
        </is>
      </c>
      <c r="B779" t="inlineStr">
        <is>
          <t>Primer periodo</t>
        </is>
      </c>
      <c r="C779" t="n">
        <v>2</v>
      </c>
      <c r="D779" t="n">
        <v>777</v>
      </c>
      <c r="E779" s="3" t="n">
        <v>46280</v>
      </c>
      <c r="F779" t="inlineStr">
        <is>
          <t>Punto de Acuerdo</t>
        </is>
      </c>
      <c r="G779" t="inlineStr">
        <is>
          <t>Acuerdo por el cual la solicitud para retirar el punto catorce del orden del día</t>
        </is>
      </c>
      <c r="H779" t="n">
        <v>19</v>
      </c>
      <c r="I779" t="inlineStr">
        <is>
          <t>Internos del Congreso</t>
        </is>
      </c>
      <c r="J779" t="n">
        <v>39</v>
      </c>
      <c r="K779" t="n">
        <v>0</v>
      </c>
      <c r="L779" t="n">
        <v>0</v>
      </c>
      <c r="M779" t="n">
        <v>0</v>
      </c>
      <c r="N779">
        <f>SUM(J779:M779)</f>
        <v/>
      </c>
      <c r="O779" s="4">
        <f>SUM(J779:L779)/SUM(J779:M779)</f>
        <v/>
      </c>
      <c r="P779" s="5">
        <f>MAX(J779:L779)/SUM(J779:L779)</f>
        <v/>
      </c>
    </row>
    <row r="780">
      <c r="A780" t="inlineStr">
        <is>
          <t>Tercer año</t>
        </is>
      </c>
      <c r="B780" t="inlineStr">
        <is>
          <t>Primer periodo</t>
        </is>
      </c>
      <c r="C780" t="n">
        <v>3</v>
      </c>
      <c r="D780" t="n">
        <v>778</v>
      </c>
      <c r="E780" s="3" t="n">
        <v>46280</v>
      </c>
      <c r="F780" t="inlineStr">
        <is>
          <t>Punto de Acuerdo</t>
        </is>
      </c>
      <c r="G780" t="inlineStr">
        <is>
          <t>Acuerdo por el cual la dispensa de lectura de las actas de sesiones anteriores</t>
        </is>
      </c>
      <c r="H780" t="n">
        <v>19</v>
      </c>
      <c r="I780" t="inlineStr">
        <is>
          <t>Internos del Congreso</t>
        </is>
      </c>
      <c r="J780" t="n">
        <v>39</v>
      </c>
      <c r="K780" t="n">
        <v>0</v>
      </c>
      <c r="L780" t="n">
        <v>0</v>
      </c>
      <c r="M780" t="n">
        <v>0</v>
      </c>
      <c r="N780">
        <f>SUM(J780:M780)</f>
        <v/>
      </c>
      <c r="O780" s="4">
        <f>SUM(J780:L780)/SUM(J780:M780)</f>
        <v/>
      </c>
      <c r="P780" s="5">
        <f>MAX(J780:L780)/SUM(J780:L780)</f>
        <v/>
      </c>
    </row>
    <row r="781">
      <c r="A781" t="inlineStr">
        <is>
          <t>Tercer año</t>
        </is>
      </c>
      <c r="B781" t="inlineStr">
        <is>
          <t>Primer periodo</t>
        </is>
      </c>
      <c r="C781" t="n">
        <v>4</v>
      </c>
      <c r="D781" t="n">
        <v>779</v>
      </c>
      <c r="E781" s="3" t="n">
        <v>46280</v>
      </c>
      <c r="F781" t="inlineStr">
        <is>
          <t>Punto de Acuerdo</t>
        </is>
      </c>
      <c r="G781" t="inlineStr">
        <is>
          <t>Acuerdo por el cual el contenido de las actas de sesiones anteriores</t>
        </is>
      </c>
      <c r="H781" t="n">
        <v>19</v>
      </c>
      <c r="I781" t="inlineStr">
        <is>
          <t>Internos del Congreso</t>
        </is>
      </c>
      <c r="J781" t="n">
        <v>39</v>
      </c>
      <c r="K781" t="n">
        <v>0</v>
      </c>
      <c r="L781" t="n">
        <v>0</v>
      </c>
      <c r="M781" t="n">
        <v>0</v>
      </c>
      <c r="N781">
        <f>SUM(J781:M781)</f>
        <v/>
      </c>
      <c r="O781" s="4">
        <f>SUM(J781:L781)/SUM(J781:M781)</f>
        <v/>
      </c>
      <c r="P781" s="5">
        <f>MAX(J781:L781)/SUM(J781:L781)</f>
        <v/>
      </c>
    </row>
    <row r="782">
      <c r="A782" t="inlineStr">
        <is>
          <t>Tercer año</t>
        </is>
      </c>
      <c r="B782" t="inlineStr">
        <is>
          <t>Primer periodo</t>
        </is>
      </c>
      <c r="C782" t="n">
        <v>5</v>
      </c>
      <c r="D782" t="n">
        <v>780</v>
      </c>
      <c r="E782" s="3" t="n">
        <v>46289</v>
      </c>
      <c r="F782" t="inlineStr">
        <is>
          <t>Iniciativa</t>
        </is>
      </c>
      <c r="G782" t="inlineStr">
        <is>
          <t>Dictamen con minuta de decreto por el cual se adicionan los párrafos segundo y tercero al artículo 55 de la Ley de Seguridad Pública del Estado</t>
        </is>
      </c>
      <c r="H782" t="n">
        <v>3</v>
      </c>
      <c r="I782" t="inlineStr">
        <is>
          <t>Seguridad Pública, Protección Civil y Narcotráfico</t>
        </is>
      </c>
      <c r="J782" t="n">
        <v>36</v>
      </c>
      <c r="K782" t="n">
        <v>0</v>
      </c>
      <c r="L782" t="n">
        <v>0</v>
      </c>
      <c r="M782" t="n">
        <v>5</v>
      </c>
      <c r="N782">
        <f>SUM(J782:M782)</f>
        <v/>
      </c>
      <c r="O782" s="4">
        <f>SUM(J782:L782)/SUM(J782:M782)</f>
        <v/>
      </c>
      <c r="P782" s="5">
        <f>MAX(J782:L782)/SUM(J782:L782)</f>
        <v/>
      </c>
    </row>
    <row r="783">
      <c r="A783" t="inlineStr">
        <is>
          <t>Tercer año</t>
        </is>
      </c>
      <c r="B783" t="inlineStr">
        <is>
          <t>Primer periodo</t>
        </is>
      </c>
      <c r="C783" t="n">
        <v>6</v>
      </c>
      <c r="D783" t="n">
        <v>781</v>
      </c>
      <c r="E783" s="3" t="n">
        <v>46289</v>
      </c>
      <c r="F783" t="inlineStr">
        <is>
          <t>Iniciativa</t>
        </is>
      </c>
      <c r="G783" t="inlineStr">
        <is>
          <t>Dictamen con minuta de decreto por el cual se reforman las fracciones XIX y XX; y se adiciona la fracción XXI del artículo 17 de la Ley de Seguridad Pública del Estado</t>
        </is>
      </c>
      <c r="H783" t="n">
        <v>3</v>
      </c>
      <c r="I783" t="inlineStr">
        <is>
          <t>Seguridad Pública, Protección Civil y Narcotráfico</t>
        </is>
      </c>
      <c r="J783" t="n">
        <v>36</v>
      </c>
      <c r="K783" t="n">
        <v>0</v>
      </c>
      <c r="L783" t="n">
        <v>0</v>
      </c>
      <c r="M783" t="n">
        <v>5</v>
      </c>
      <c r="N783">
        <f>SUM(J783:M783)</f>
        <v/>
      </c>
      <c r="O783" s="4">
        <f>SUM(J783:L783)/SUM(J783:M783)</f>
        <v/>
      </c>
      <c r="P783" s="5">
        <f>MAX(J783:L783)/SUM(J783:L783)</f>
        <v/>
      </c>
    </row>
    <row r="784">
      <c r="A784" t="inlineStr">
        <is>
          <t>Tercer año</t>
        </is>
      </c>
      <c r="B784" t="inlineStr">
        <is>
          <t>Primer periodo</t>
        </is>
      </c>
      <c r="C784" t="n">
        <v>7</v>
      </c>
      <c r="D784" t="n">
        <v>782</v>
      </c>
      <c r="E784" s="3" t="n">
        <v>46289</v>
      </c>
      <c r="F784" t="inlineStr">
        <is>
          <t>Iniciativa</t>
        </is>
      </c>
      <c r="G784" t="inlineStr">
        <is>
          <t>Dictamen con minuta de decreto por el cual se reforman diversas disposiciones de la Ley Estatal de Salud</t>
        </is>
      </c>
      <c r="H784" t="n">
        <v>6</v>
      </c>
      <c r="I784" t="inlineStr">
        <is>
          <t>Salud</t>
        </is>
      </c>
      <c r="J784" t="n">
        <v>37</v>
      </c>
      <c r="K784" t="n">
        <v>0</v>
      </c>
      <c r="L784" t="n">
        <v>0</v>
      </c>
      <c r="M784" t="n">
        <v>4</v>
      </c>
      <c r="N784">
        <f>SUM(J784:M784)</f>
        <v/>
      </c>
      <c r="O784" s="4">
        <f>SUM(J784:L784)/SUM(J784:M784)</f>
        <v/>
      </c>
      <c r="P784" s="5">
        <f>MAX(J784:L784)/SUM(J784:L784)</f>
        <v/>
      </c>
    </row>
    <row r="785">
      <c r="A785" t="inlineStr">
        <is>
          <t>Tercer año</t>
        </is>
      </c>
      <c r="B785" t="inlineStr">
        <is>
          <t>Primer periodo</t>
        </is>
      </c>
      <c r="C785" t="n">
        <v>8</v>
      </c>
      <c r="D785" t="n">
        <v>783</v>
      </c>
      <c r="E785" s="3" t="n">
        <v>46289</v>
      </c>
      <c r="F785" t="inlineStr">
        <is>
          <t>Punto de Acuerdo</t>
        </is>
      </c>
      <c r="G785" t="inlineStr">
        <is>
          <t>Acuerdo por el cual se exhorta a la Secretaría de Desarrollo Turístico en materia de planeación y evaluación de la actividad turística</t>
        </is>
      </c>
      <c r="H785" t="n">
        <v>1</v>
      </c>
      <c r="I785" t="inlineStr">
        <is>
          <t>Economía, Comercio y Competitividad</t>
        </is>
      </c>
      <c r="J785" t="n">
        <v>37</v>
      </c>
      <c r="K785" t="n">
        <v>0</v>
      </c>
      <c r="L785" t="n">
        <v>0</v>
      </c>
      <c r="M785" t="n">
        <v>4</v>
      </c>
      <c r="N785">
        <f>SUM(J785:M785)</f>
        <v/>
      </c>
      <c r="O785" s="4">
        <f>SUM(J785:L785)/SUM(J785:M785)</f>
        <v/>
      </c>
      <c r="P785" s="5">
        <f>MAX(J785:L785)/SUM(J785:L785)</f>
        <v/>
      </c>
    </row>
    <row r="786">
      <c r="A786" t="inlineStr">
        <is>
          <t>Tercer año</t>
        </is>
      </c>
      <c r="B786" t="inlineStr">
        <is>
          <t>Primer periodo</t>
        </is>
      </c>
      <c r="C786" t="n">
        <v>9</v>
      </c>
      <c r="D786" t="n">
        <v>784</v>
      </c>
      <c r="E786" s="3" t="n">
        <v>46289</v>
      </c>
      <c r="F786" t="inlineStr">
        <is>
          <t>Punto de Acuerdo</t>
        </is>
      </c>
      <c r="G786" t="inlineStr">
        <is>
          <t>Acuerdo por el que se exhorta a los ayuntamientos y concejos municipales en materia de instancias municipales de las mujeres</t>
        </is>
      </c>
      <c r="H786" t="n">
        <v>20</v>
      </c>
      <c r="I786" t="inlineStr">
        <is>
          <t>Justicia y Estado de Derecho en temas de Mujeres</t>
        </is>
      </c>
      <c r="J786" t="n">
        <v>38</v>
      </c>
      <c r="K786" t="n">
        <v>0</v>
      </c>
      <c r="L786" t="n">
        <v>0</v>
      </c>
      <c r="M786" t="n">
        <v>3</v>
      </c>
      <c r="N786">
        <f>SUM(J786:M786)</f>
        <v/>
      </c>
      <c r="O786" s="4">
        <f>SUM(J786:L786)/SUM(J786:M786)</f>
        <v/>
      </c>
      <c r="P786" s="5">
        <f>MAX(J786:L786)/SUM(J786:L786)</f>
        <v/>
      </c>
    </row>
    <row r="787">
      <c r="A787" t="inlineStr">
        <is>
          <t>Tercer año</t>
        </is>
      </c>
      <c r="B787" t="inlineStr">
        <is>
          <t>Primer periodo</t>
        </is>
      </c>
      <c r="C787" t="n">
        <v>10</v>
      </c>
      <c r="D787" t="n">
        <v>785</v>
      </c>
      <c r="E787" s="3" t="n">
        <v>46289</v>
      </c>
      <c r="F787" t="inlineStr">
        <is>
          <t>Punto de Acuerdo</t>
        </is>
      </c>
      <c r="G787" t="inlineStr">
        <is>
          <t>Acuerdo por el que se exhorta a los ayuntamientos y concejos municipales en materia de capacitación para personas servidoras públicas</t>
        </is>
      </c>
      <c r="H787" t="n">
        <v>18</v>
      </c>
      <c r="I787" t="inlineStr">
        <is>
          <t>Administración Pública</t>
        </is>
      </c>
      <c r="J787" t="n">
        <v>38</v>
      </c>
      <c r="K787" t="n">
        <v>0</v>
      </c>
      <c r="L787" t="n">
        <v>0</v>
      </c>
      <c r="M787" t="n">
        <v>3</v>
      </c>
      <c r="N787">
        <f>SUM(J787:M787)</f>
        <v/>
      </c>
      <c r="O787" s="4">
        <f>SUM(J787:L787)/SUM(J787:M787)</f>
        <v/>
      </c>
      <c r="P787" s="5">
        <f>MAX(J787:L787)/SUM(J787:L787)</f>
        <v/>
      </c>
    </row>
    <row r="788">
      <c r="A788" t="inlineStr">
        <is>
          <t>Tercer año</t>
        </is>
      </c>
      <c r="B788" t="inlineStr">
        <is>
          <t>Primer periodo</t>
        </is>
      </c>
      <c r="C788" t="n">
        <v>11</v>
      </c>
      <c r="D788" t="n">
        <v>786</v>
      </c>
      <c r="E788" s="3" t="n">
        <v>46289</v>
      </c>
      <c r="F788" t="inlineStr">
        <is>
          <t>Punto de Acuerdo</t>
        </is>
      </c>
      <c r="G788" t="inlineStr">
        <is>
          <t>Acuerdo por el que se exhorta a la Procuraduría Federal del Consumidor en materia de plataformas digitales de venta de boletos</t>
        </is>
      </c>
      <c r="H788" t="n">
        <v>1</v>
      </c>
      <c r="I788" t="inlineStr">
        <is>
          <t>Economía, Comercio y Competitividad</t>
        </is>
      </c>
      <c r="J788" t="n">
        <v>38</v>
      </c>
      <c r="K788" t="n">
        <v>0</v>
      </c>
      <c r="L788" t="n">
        <v>0</v>
      </c>
      <c r="M788" t="n">
        <v>3</v>
      </c>
      <c r="N788">
        <f>SUM(J788:M788)</f>
        <v/>
      </c>
      <c r="O788" s="4">
        <f>SUM(J788:L788)/SUM(J788:M788)</f>
        <v/>
      </c>
      <c r="P788" s="5">
        <f>MAX(J788:L788)/SUM(J788:L788)</f>
        <v/>
      </c>
    </row>
    <row r="789">
      <c r="A789" t="inlineStr">
        <is>
          <t>Tercer año</t>
        </is>
      </c>
      <c r="B789" t="inlineStr">
        <is>
          <t>Primer periodo</t>
        </is>
      </c>
      <c r="C789" t="n">
        <v>12</v>
      </c>
      <c r="D789" t="n">
        <v>787</v>
      </c>
      <c r="E789" s="3" t="n">
        <v>46289</v>
      </c>
      <c r="F789" t="inlineStr">
        <is>
          <t>Punto de Acuerdo</t>
        </is>
      </c>
      <c r="G789" t="inlineStr">
        <is>
          <t>Acuerdo por el que se exhorta a la Comisión Nacional para la Protección y Defensa de los Usuarios de Servicios Financieros en materia de prevención de fraudes</t>
        </is>
      </c>
      <c r="H789" t="n">
        <v>1</v>
      </c>
      <c r="I789" t="inlineStr">
        <is>
          <t>Economía, Comercio y Competitividad</t>
        </is>
      </c>
      <c r="J789" t="n">
        <v>38</v>
      </c>
      <c r="K789" t="n">
        <v>0</v>
      </c>
      <c r="L789" t="n">
        <v>0</v>
      </c>
      <c r="M789" t="n">
        <v>3</v>
      </c>
      <c r="N789">
        <f>SUM(J789:M789)</f>
        <v/>
      </c>
      <c r="O789" s="4">
        <f>SUM(J789:L789)/SUM(J789:M789)</f>
        <v/>
      </c>
      <c r="P789" s="5">
        <f>MAX(J789:L789)/SUM(J789:L789)</f>
        <v/>
      </c>
    </row>
    <row r="790">
      <c r="A790" t="inlineStr">
        <is>
          <t>Tercer año</t>
        </is>
      </c>
      <c r="B790" t="inlineStr">
        <is>
          <t>Primer periodo</t>
        </is>
      </c>
      <c r="C790" t="n">
        <v>13</v>
      </c>
      <c r="D790" t="n">
        <v>788</v>
      </c>
      <c r="E790" s="3" t="n">
        <v>46289</v>
      </c>
      <c r="F790" t="inlineStr">
        <is>
          <t>Punto de Acuerdo</t>
        </is>
      </c>
      <c r="G790" t="inlineStr">
        <is>
          <t>Acuerdo por el que se exhorta a los ayuntamientos y concejos municipales en materia de bienes abandonados y parques</t>
        </is>
      </c>
      <c r="H790" t="n">
        <v>11</v>
      </c>
      <c r="I790" t="inlineStr">
        <is>
          <t>Infraestructura, Movilidad y Transporte</t>
        </is>
      </c>
      <c r="J790" t="n">
        <v>39</v>
      </c>
      <c r="K790" t="n">
        <v>0</v>
      </c>
      <c r="L790" t="n">
        <v>0</v>
      </c>
      <c r="M790" t="n">
        <v>2</v>
      </c>
      <c r="N790">
        <f>SUM(J790:M790)</f>
        <v/>
      </c>
      <c r="O790" s="4">
        <f>SUM(J790:L790)/SUM(J790:M790)</f>
        <v/>
      </c>
      <c r="P790" s="5">
        <f>MAX(J790:L790)/SUM(J790:L790)</f>
        <v/>
      </c>
    </row>
    <row r="791">
      <c r="A791" t="inlineStr">
        <is>
          <t>Tercer año</t>
        </is>
      </c>
      <c r="B791" t="inlineStr">
        <is>
          <t>Primer periodo</t>
        </is>
      </c>
      <c r="C791" t="n">
        <v>14</v>
      </c>
      <c r="D791" t="n">
        <v>789</v>
      </c>
      <c r="E791" s="3" t="n">
        <v>46289</v>
      </c>
      <c r="F791" t="inlineStr">
        <is>
          <t>Punto de Acuerdo</t>
        </is>
      </c>
      <c r="G791" t="inlineStr">
        <is>
          <t>Acuerdo por el que se exhorta a los ayuntamientos y concejos municipales en materia de retiro de cableado aéreo en desuso</t>
        </is>
      </c>
      <c r="H791" t="n">
        <v>11</v>
      </c>
      <c r="I791" t="inlineStr">
        <is>
          <t>Infraestructura, Movilidad y Transporte</t>
        </is>
      </c>
      <c r="J791" t="n">
        <v>39</v>
      </c>
      <c r="K791" t="n">
        <v>0</v>
      </c>
      <c r="L791" t="n">
        <v>0</v>
      </c>
      <c r="M791" t="n">
        <v>2</v>
      </c>
      <c r="N791">
        <f>SUM(J791:M791)</f>
        <v/>
      </c>
      <c r="O791" s="4">
        <f>SUM(J791:L791)/SUM(J791:M791)</f>
        <v/>
      </c>
      <c r="P791" s="5">
        <f>MAX(J791:L791)/SUM(J791:L791)</f>
        <v/>
      </c>
    </row>
    <row r="792">
      <c r="A792" t="inlineStr">
        <is>
          <t>Tercer año</t>
        </is>
      </c>
      <c r="B792" t="inlineStr">
        <is>
          <t>Primer periodo</t>
        </is>
      </c>
      <c r="C792" t="n">
        <v>15</v>
      </c>
      <c r="D792" t="n">
        <v>790</v>
      </c>
      <c r="E792" s="3" t="n">
        <v>46289</v>
      </c>
      <c r="F792" t="inlineStr">
        <is>
          <t>Punto de Acuerdo</t>
        </is>
      </c>
      <c r="G792" t="inlineStr">
        <is>
          <t>Acuerdo por el que se exhorta a la Secretaría de Seguridad Pública y a la Fiscalía General del Estado en materia de robo de ganado</t>
        </is>
      </c>
      <c r="H792" t="n">
        <v>3</v>
      </c>
      <c r="I792" t="inlineStr">
        <is>
          <t>Seguridad Pública, Protección Civil y Narcotráfico</t>
        </is>
      </c>
      <c r="J792" t="n">
        <v>39</v>
      </c>
      <c r="K792" t="n">
        <v>0</v>
      </c>
      <c r="L792" t="n">
        <v>0</v>
      </c>
      <c r="M792" t="n">
        <v>2</v>
      </c>
      <c r="N792">
        <f>SUM(J792:M792)</f>
        <v/>
      </c>
      <c r="O792" s="4">
        <f>SUM(J792:L792)/SUM(J792:M792)</f>
        <v/>
      </c>
      <c r="P792" s="5">
        <f>MAX(J792:L792)/SUM(J792:L792)</f>
        <v/>
      </c>
    </row>
    <row r="793">
      <c r="A793" t="inlineStr">
        <is>
          <t>Tercer año</t>
        </is>
      </c>
      <c r="B793" t="inlineStr">
        <is>
          <t>Primer periodo</t>
        </is>
      </c>
      <c r="C793" t="n">
        <v>16</v>
      </c>
      <c r="D793" t="n">
        <v>791</v>
      </c>
      <c r="E793" s="3" t="n">
        <v>46289</v>
      </c>
      <c r="F793" t="inlineStr">
        <is>
          <t>Punto de Acuerdo</t>
        </is>
      </c>
      <c r="G793" t="inlineStr">
        <is>
          <t>Acuerdo por el que se exhorta a la Secretaría de Seguridad Pública en materia de operativos en carreteras</t>
        </is>
      </c>
      <c r="H793" t="n">
        <v>3</v>
      </c>
      <c r="I793" t="inlineStr">
        <is>
          <t>Seguridad Pública, Protección Civil y Narcotráfico</t>
        </is>
      </c>
      <c r="J793" t="n">
        <v>39</v>
      </c>
      <c r="K793" t="n">
        <v>0</v>
      </c>
      <c r="L793" t="n">
        <v>0</v>
      </c>
      <c r="M793" t="n">
        <v>2</v>
      </c>
      <c r="N793">
        <f>SUM(J793:M793)</f>
        <v/>
      </c>
      <c r="O793" s="4">
        <f>SUM(J793:L793)/SUM(J793:M793)</f>
        <v/>
      </c>
      <c r="P793" s="5">
        <f>MAX(J793:L793)/SUM(J793:L793)</f>
        <v/>
      </c>
    </row>
    <row r="794">
      <c r="A794" t="inlineStr">
        <is>
          <t>Tercer año</t>
        </is>
      </c>
      <c r="B794" t="inlineStr">
        <is>
          <t>Primer periodo</t>
        </is>
      </c>
      <c r="C794" t="n">
        <v>17</v>
      </c>
      <c r="D794" t="n">
        <v>792</v>
      </c>
      <c r="E794" s="3" t="n">
        <v>46289</v>
      </c>
      <c r="F794" t="inlineStr">
        <is>
          <t>Punto de Acuerdo</t>
        </is>
      </c>
      <c r="G794" t="inlineStr">
        <is>
          <t>Acuerdo por el que se exhorta a la Secretaría de Agricultura y Desarrollo Rural en materia de apoyos a agricultores</t>
        </is>
      </c>
      <c r="H794" t="n">
        <v>12</v>
      </c>
      <c r="I794" t="inlineStr">
        <is>
          <t>Agricultura, Ganadería y Pesca</t>
        </is>
      </c>
      <c r="J794" t="n">
        <v>39</v>
      </c>
      <c r="K794" t="n">
        <v>0</v>
      </c>
      <c r="L794" t="n">
        <v>0</v>
      </c>
      <c r="M794" t="n">
        <v>2</v>
      </c>
      <c r="N794">
        <f>SUM(J794:M794)</f>
        <v/>
      </c>
      <c r="O794" s="4">
        <f>SUM(J794:L794)/SUM(J794:M794)</f>
        <v/>
      </c>
      <c r="P794" s="5">
        <f>MAX(J794:L794)/SUM(J794:L794)</f>
        <v/>
      </c>
    </row>
    <row r="795">
      <c r="A795" t="inlineStr">
        <is>
          <t>Tercer año</t>
        </is>
      </c>
      <c r="B795" t="inlineStr">
        <is>
          <t>Primer periodo</t>
        </is>
      </c>
      <c r="C795" t="n">
        <v>18</v>
      </c>
      <c r="D795" t="n">
        <v>793</v>
      </c>
      <c r="E795" s="3" t="n">
        <v>46289</v>
      </c>
      <c r="F795" t="inlineStr">
        <is>
          <t>Punto de Acuerdo</t>
        </is>
      </c>
      <c r="G795" t="inlineStr">
        <is>
          <t>Acuerdo por el que se exhorta a la Secretaría de Agricultura y Desarrollo Rural en materia de acopio de envases de agroquímicos</t>
        </is>
      </c>
      <c r="H795" t="n">
        <v>5</v>
      </c>
      <c r="I795" t="inlineStr">
        <is>
          <t>Medio Ambiente</t>
        </is>
      </c>
      <c r="J795" t="n">
        <v>39</v>
      </c>
      <c r="K795" t="n">
        <v>0</v>
      </c>
      <c r="L795" t="n">
        <v>0</v>
      </c>
      <c r="M795" t="n">
        <v>2</v>
      </c>
      <c r="N795">
        <f>SUM(J795:M795)</f>
        <v/>
      </c>
      <c r="O795" s="4">
        <f>SUM(J795:L795)/SUM(J795:M795)</f>
        <v/>
      </c>
      <c r="P795" s="5">
        <f>MAX(J795:L795)/SUM(J795:L795)</f>
        <v/>
      </c>
    </row>
    <row r="796">
      <c r="A796" t="inlineStr">
        <is>
          <t>Tercer año</t>
        </is>
      </c>
      <c r="B796" t="inlineStr">
        <is>
          <t>Primer periodo</t>
        </is>
      </c>
      <c r="C796" t="n">
        <v>19</v>
      </c>
      <c r="D796" t="n">
        <v>794</v>
      </c>
      <c r="E796" s="3" t="n">
        <v>46289</v>
      </c>
      <c r="F796" t="inlineStr">
        <is>
          <t>Punto de Acuerdo</t>
        </is>
      </c>
      <c r="G796" t="inlineStr">
        <is>
          <t>Acuerdo por el que se exhorta a la Secretaría de Agricultura y Desarrollo Rural y de Educación Pública en materia de apoyo a jóvenes cafetaleros</t>
        </is>
      </c>
      <c r="H796" t="n">
        <v>1</v>
      </c>
      <c r="I796" t="inlineStr">
        <is>
          <t>Economía, Comercio y Competitividad</t>
        </is>
      </c>
      <c r="J796" t="n">
        <v>39</v>
      </c>
      <c r="K796" t="n">
        <v>0</v>
      </c>
      <c r="L796" t="n">
        <v>0</v>
      </c>
      <c r="M796" t="n">
        <v>2</v>
      </c>
      <c r="N796">
        <f>SUM(J796:M796)</f>
        <v/>
      </c>
      <c r="O796" s="4">
        <f>SUM(J796:L796)/SUM(J796:M796)</f>
        <v/>
      </c>
      <c r="P796" s="5">
        <f>MAX(J796:L796)/SUM(J796:L796)</f>
        <v/>
      </c>
    </row>
    <row r="797">
      <c r="A797" t="inlineStr">
        <is>
          <t>Tercer año</t>
        </is>
      </c>
      <c r="B797" t="inlineStr">
        <is>
          <t>Primer periodo</t>
        </is>
      </c>
      <c r="C797" t="n">
        <v>20</v>
      </c>
      <c r="D797" t="n">
        <v>795</v>
      </c>
      <c r="E797" s="3" t="n">
        <v>46289</v>
      </c>
      <c r="F797" t="inlineStr">
        <is>
          <t>Punto de Acuerdo</t>
        </is>
      </c>
      <c r="G797" t="inlineStr">
        <is>
          <t>Acuerdo por el que se exhorta a la Comisión Mexicana de Ayuda a Refugiados y al Instituto Poblano de Asistencia al Migrante</t>
        </is>
      </c>
      <c r="H797" t="n">
        <v>9</v>
      </c>
      <c r="I797" t="inlineStr">
        <is>
          <t>Migración y fronteras</t>
        </is>
      </c>
      <c r="J797" t="n">
        <v>39</v>
      </c>
      <c r="K797" t="n">
        <v>0</v>
      </c>
      <c r="L797" t="n">
        <v>0</v>
      </c>
      <c r="M797" t="n">
        <v>2</v>
      </c>
      <c r="N797">
        <f>SUM(J797:M797)</f>
        <v/>
      </c>
      <c r="O797" s="4">
        <f>SUM(J797:L797)/SUM(J797:M797)</f>
        <v/>
      </c>
      <c r="P797" s="5">
        <f>MAX(J797:L797)/SUM(J797:L797)</f>
        <v/>
      </c>
    </row>
    <row r="798">
      <c r="A798" t="inlineStr">
        <is>
          <t>Tercer año</t>
        </is>
      </c>
      <c r="B798" t="inlineStr">
        <is>
          <t>Primer periodo</t>
        </is>
      </c>
      <c r="C798" t="n">
        <v>21</v>
      </c>
      <c r="D798" t="n">
        <v>796</v>
      </c>
      <c r="E798" s="3" t="n">
        <v>46289</v>
      </c>
      <c r="F798" t="inlineStr">
        <is>
          <t>Punto de Acuerdo</t>
        </is>
      </c>
      <c r="G798" t="inlineStr">
        <is>
          <t>Acuerdo por el que se exhorta a la Comisión Federal para la Protección contra Riesgos Sanitarios en materia de productos agroquímicos</t>
        </is>
      </c>
      <c r="H798" t="n">
        <v>6</v>
      </c>
      <c r="I798" t="inlineStr">
        <is>
          <t>Salud</t>
        </is>
      </c>
      <c r="J798" t="n">
        <v>39</v>
      </c>
      <c r="K798" t="n">
        <v>0</v>
      </c>
      <c r="L798" t="n">
        <v>0</v>
      </c>
      <c r="M798" t="n">
        <v>2</v>
      </c>
      <c r="N798">
        <f>SUM(J798:M798)</f>
        <v/>
      </c>
      <c r="O798" s="4">
        <f>SUM(J798:L798)/SUM(J798:M798)</f>
        <v/>
      </c>
      <c r="P798" s="5">
        <f>MAX(J798:L798)/SUM(J798:L798)</f>
        <v/>
      </c>
    </row>
    <row r="799">
      <c r="A799" t="inlineStr">
        <is>
          <t>Tercer año</t>
        </is>
      </c>
      <c r="B799" t="inlineStr">
        <is>
          <t>Primer periodo</t>
        </is>
      </c>
      <c r="C799" t="n">
        <v>22</v>
      </c>
      <c r="D799" t="n">
        <v>797</v>
      </c>
      <c r="E799" s="3" t="n">
        <v>46289</v>
      </c>
      <c r="F799" t="inlineStr">
        <is>
          <t>Punto de Acuerdo</t>
        </is>
      </c>
      <c r="G799" t="inlineStr">
        <is>
          <t>Acuerdo por el que se exhorta a la Secretaría de Salud y otras autoridades en materia de medicina tradicional</t>
        </is>
      </c>
      <c r="H799" t="n">
        <v>6</v>
      </c>
      <c r="I799" t="inlineStr">
        <is>
          <t>Salud</t>
        </is>
      </c>
      <c r="J799" t="n">
        <v>39</v>
      </c>
      <c r="K799" t="n">
        <v>0</v>
      </c>
      <c r="L799" t="n">
        <v>0</v>
      </c>
      <c r="M799" t="n">
        <v>2</v>
      </c>
      <c r="N799">
        <f>SUM(J799:M799)</f>
        <v/>
      </c>
      <c r="O799" s="4">
        <f>SUM(J799:L799)/SUM(J799:M799)</f>
        <v/>
      </c>
      <c r="P799" s="5">
        <f>MAX(J799:L799)/SUM(J799:L799)</f>
        <v/>
      </c>
    </row>
    <row r="800">
      <c r="A800" t="inlineStr">
        <is>
          <t>Tercer año</t>
        </is>
      </c>
      <c r="B800" t="inlineStr">
        <is>
          <t>Primer periodo</t>
        </is>
      </c>
      <c r="C800" t="n">
        <v>23</v>
      </c>
      <c r="D800" t="n">
        <v>798</v>
      </c>
      <c r="E800" s="3" t="n">
        <v>46289</v>
      </c>
      <c r="F800" t="inlineStr">
        <is>
          <t>Punto de Acuerdo</t>
        </is>
      </c>
      <c r="G800" t="inlineStr">
        <is>
          <t>Acuerdo por el que se exhorta a los ayuntamientos y concejos municipales en materia de la campaña Mes del Testamento</t>
        </is>
      </c>
      <c r="H800" t="n">
        <v>14</v>
      </c>
      <c r="I800" t="inlineStr">
        <is>
          <t>Justicia y Estado de Derecho</t>
        </is>
      </c>
      <c r="J800" t="n">
        <v>39</v>
      </c>
      <c r="K800" t="n">
        <v>0</v>
      </c>
      <c r="L800" t="n">
        <v>0</v>
      </c>
      <c r="M800" t="n">
        <v>2</v>
      </c>
      <c r="N800">
        <f>SUM(J800:M800)</f>
        <v/>
      </c>
      <c r="O800" s="4">
        <f>SUM(J800:L800)/SUM(J800:M800)</f>
        <v/>
      </c>
      <c r="P800" s="5">
        <f>MAX(J800:L800)/SUM(J800:L800)</f>
        <v/>
      </c>
    </row>
    <row r="801">
      <c r="A801" t="inlineStr">
        <is>
          <t>Tercer año</t>
        </is>
      </c>
      <c r="B801" t="inlineStr">
        <is>
          <t>Primer periodo</t>
        </is>
      </c>
      <c r="C801" t="n">
        <v>24</v>
      </c>
      <c r="D801" t="n">
        <v>799</v>
      </c>
      <c r="E801" s="3" t="n">
        <v>46295</v>
      </c>
      <c r="F801" t="inlineStr">
        <is>
          <t>Iniciativa</t>
        </is>
      </c>
      <c r="G801" t="inlineStr">
        <is>
          <t>Dictamen con minuta Proyecto de decreto que presenta la Comisión de Gobernación y Puntos Constitucionales</t>
        </is>
      </c>
      <c r="H801" t="n">
        <v>18</v>
      </c>
      <c r="I801" t="inlineStr">
        <is>
          <t>Administración Pública</t>
        </is>
      </c>
      <c r="J801" t="n">
        <v>33</v>
      </c>
      <c r="K801" t="n">
        <v>6</v>
      </c>
      <c r="L801" t="n">
        <v>0</v>
      </c>
      <c r="M801" t="n">
        <v>2</v>
      </c>
      <c r="N801">
        <f>SUM(J801:M801)</f>
        <v/>
      </c>
      <c r="O801" s="4">
        <f>SUM(J801:L801)/SUM(J801:M801)</f>
        <v/>
      </c>
      <c r="P801" s="5">
        <f>MAX(J801:L801)/SUM(J801:L801)</f>
        <v/>
      </c>
    </row>
    <row r="802">
      <c r="A802" t="inlineStr">
        <is>
          <t>Tercer año</t>
        </is>
      </c>
      <c r="B802" t="inlineStr">
        <is>
          <t>Primer periodo</t>
        </is>
      </c>
      <c r="C802" t="n">
        <v>25</v>
      </c>
      <c r="D802" t="n">
        <v>800</v>
      </c>
      <c r="E802" s="3" t="n">
        <v>46296</v>
      </c>
      <c r="F802" t="inlineStr">
        <is>
          <t>Iniciativa</t>
        </is>
      </c>
      <c r="G802" t="inlineStr">
        <is>
          <t>Dictamen con minuta de decreto por el cual se autoriza al honorable ayuntamiento del municipio de Yaonáhuac, la enajenación bajo la figura de donación a título gratuito a favor del Gobierno del Estado, para la construcción y funcionamiento de la sede en el municipio de Yaonáhuac, de la Universidad de la Salud del Estado de Puebla</t>
        </is>
      </c>
      <c r="H802" t="n">
        <v>7</v>
      </c>
      <c r="I802" t="inlineStr">
        <is>
          <t>Impuestos, Finanzas Públicas, Patrimonio estatal y municipal</t>
        </is>
      </c>
      <c r="J802" t="n">
        <v>33</v>
      </c>
      <c r="K802" t="n">
        <v>0</v>
      </c>
      <c r="L802" t="n">
        <v>0</v>
      </c>
      <c r="M802" t="n">
        <v>0</v>
      </c>
      <c r="N802">
        <f>SUM(J802:M802)</f>
        <v/>
      </c>
      <c r="O802" s="4">
        <f>SUM(J802:L802)/SUM(J802:M802)</f>
        <v/>
      </c>
      <c r="P802" s="5">
        <f>MAX(J802:L802)/SUM(J802:L802)</f>
        <v/>
      </c>
    </row>
    <row r="803">
      <c r="A803" t="inlineStr">
        <is>
          <t>Tercer año</t>
        </is>
      </c>
      <c r="B803" t="inlineStr">
        <is>
          <t>Primer periodo</t>
        </is>
      </c>
      <c r="C803" t="n">
        <v>26</v>
      </c>
      <c r="D803" t="n">
        <v>801</v>
      </c>
      <c r="E803" s="3" t="n">
        <v>46296</v>
      </c>
      <c r="F803" t="inlineStr">
        <is>
          <t>Iniciativa</t>
        </is>
      </c>
      <c r="G803" t="inlineStr">
        <is>
          <t>Dictamen con minuta de decreto por el cual se autoriza al honorable ayuntamiento del municipio de Zacatlán, la enajenación bajo la figura jurídica de donación a título gratuito a favor del Gobierno del Estado, con destino a la Secretaría de Educación Pública, para la instalación del bachillerato digital número 13</t>
        </is>
      </c>
      <c r="H803" t="n">
        <v>7</v>
      </c>
      <c r="I803" t="inlineStr">
        <is>
          <t>Impuestos, Finanzas Públicas, Patrimonio estatal y municipal</t>
        </is>
      </c>
      <c r="J803" t="n">
        <v>36</v>
      </c>
      <c r="K803" t="n">
        <v>0</v>
      </c>
      <c r="L803" t="n">
        <v>0</v>
      </c>
      <c r="M803" t="n">
        <v>0</v>
      </c>
      <c r="N803">
        <f>SUM(J803:M803)</f>
        <v/>
      </c>
      <c r="O803" s="4">
        <f>SUM(J803:L803)/SUM(J803:M803)</f>
        <v/>
      </c>
      <c r="P803" s="5">
        <f>MAX(J803:L803)/SUM(J803:L803)</f>
        <v/>
      </c>
    </row>
    <row r="804">
      <c r="A804" t="inlineStr">
        <is>
          <t>Tercer año</t>
        </is>
      </c>
      <c r="B804" t="inlineStr">
        <is>
          <t>Primer periodo</t>
        </is>
      </c>
      <c r="C804" t="n">
        <v>27</v>
      </c>
      <c r="D804" t="n">
        <v>802</v>
      </c>
      <c r="E804" s="3" t="n">
        <v>46296</v>
      </c>
      <c r="F804" t="inlineStr">
        <is>
          <t>Iniciativa</t>
        </is>
      </c>
      <c r="G804" t="inlineStr">
        <is>
          <t>Dictamen con minuta de decreto por el cual se reforman y se adicionan diversas disposiciones de la Ley de Bibliotecas del Estado</t>
        </is>
      </c>
      <c r="H804" t="n">
        <v>8</v>
      </c>
      <c r="I804" t="inlineStr">
        <is>
          <t>Educación y Cultura</t>
        </is>
      </c>
      <c r="J804" t="n">
        <v>38</v>
      </c>
      <c r="K804" t="n">
        <v>0</v>
      </c>
      <c r="L804" t="n">
        <v>0</v>
      </c>
      <c r="M804" t="n">
        <v>0</v>
      </c>
      <c r="N804">
        <f>SUM(J804:M804)</f>
        <v/>
      </c>
      <c r="O804" s="4">
        <f>SUM(J804:L804)/SUM(J804:M804)</f>
        <v/>
      </c>
      <c r="P804" s="5">
        <f>MAX(J804:L804)/SUM(J804:L804)</f>
        <v/>
      </c>
    </row>
    <row r="805">
      <c r="A805" t="inlineStr">
        <is>
          <t>Tercer año</t>
        </is>
      </c>
      <c r="B805" t="inlineStr">
        <is>
          <t>Primer periodo</t>
        </is>
      </c>
      <c r="C805" t="n">
        <v>28</v>
      </c>
      <c r="D805" t="n">
        <v>803</v>
      </c>
      <c r="E805" s="3" t="n">
        <v>46296</v>
      </c>
      <c r="F805" t="inlineStr">
        <is>
          <t>Iniciativa</t>
        </is>
      </c>
      <c r="G805" t="inlineStr">
        <is>
          <t>Dictamen con minuta de decreto por el cual se declara a Oriental, como “Oriental, municipio ferrocarrilero del estado”</t>
        </is>
      </c>
      <c r="H805" t="n">
        <v>8</v>
      </c>
      <c r="I805" t="inlineStr">
        <is>
          <t>Educación y Cultura</t>
        </is>
      </c>
      <c r="J805" t="n">
        <v>39</v>
      </c>
      <c r="K805" t="n">
        <v>0</v>
      </c>
      <c r="L805" t="n">
        <v>0</v>
      </c>
      <c r="M805" t="n">
        <v>0</v>
      </c>
      <c r="N805">
        <f>SUM(J805:M805)</f>
        <v/>
      </c>
      <c r="O805" s="4">
        <f>SUM(J805:L805)/SUM(J805:M805)</f>
        <v/>
      </c>
      <c r="P805" s="5">
        <f>MAX(J805:L805)/SUM(J805:L805)</f>
        <v/>
      </c>
    </row>
    <row r="806">
      <c r="A806" t="inlineStr">
        <is>
          <t>Tercer año</t>
        </is>
      </c>
      <c r="B806" t="inlineStr">
        <is>
          <t>Primer periodo</t>
        </is>
      </c>
      <c r="C806" t="n">
        <v>29</v>
      </c>
      <c r="D806" t="n">
        <v>804</v>
      </c>
      <c r="E806" s="3" t="n">
        <v>46296</v>
      </c>
      <c r="F806" t="inlineStr">
        <is>
          <t>Iniciativa</t>
        </is>
      </c>
      <c r="G806" t="inlineStr">
        <is>
          <t>Dictamen con minuta de decreto por el cual se reforma y se adicionan diversas disposiciones de la Ley para el acceso de las mujeres a una vida libre de violencia del estado</t>
        </is>
      </c>
      <c r="H806" t="n">
        <v>20</v>
      </c>
      <c r="I806" t="inlineStr">
        <is>
          <t>Justicia y Estado de Derecho en temas de Mujeres</t>
        </is>
      </c>
      <c r="J806" t="n">
        <v>39</v>
      </c>
      <c r="K806" t="n">
        <v>0</v>
      </c>
      <c r="L806" t="n">
        <v>0</v>
      </c>
      <c r="M806" t="n">
        <v>0</v>
      </c>
      <c r="N806">
        <f>SUM(J806:M806)</f>
        <v/>
      </c>
      <c r="O806" s="4">
        <f>SUM(J806:L806)/SUM(J806:M806)</f>
        <v/>
      </c>
      <c r="P806" s="5">
        <f>MAX(J806:L806)/SUM(J806:L806)</f>
        <v/>
      </c>
    </row>
    <row r="807">
      <c r="A807" t="inlineStr">
        <is>
          <t>Tercer año</t>
        </is>
      </c>
      <c r="B807" t="inlineStr">
        <is>
          <t>Primer periodo</t>
        </is>
      </c>
      <c r="C807" t="n">
        <v>30</v>
      </c>
      <c r="D807" t="n">
        <v>805</v>
      </c>
      <c r="E807" s="3" t="n">
        <v>46296</v>
      </c>
      <c r="F807" t="inlineStr">
        <is>
          <t>Iniciativa</t>
        </is>
      </c>
      <c r="G807" t="inlineStr">
        <is>
          <t>Dictamen con minuta de decreto por el cual se reforman el último párrafo del artículo 7, el segundo párrafo del 15 quáter, y el segundo párrafo del 22; todos de la Ley que establece los procedimientos de entrega-recepción en los poderes públicos, ayuntamientos, órganos constitucionalmente autónomos y públicos paraestatales de la administración pública del estado</t>
        </is>
      </c>
      <c r="H807" t="n">
        <v>10</v>
      </c>
      <c r="I807" t="inlineStr">
        <is>
          <t>Transparencia y Rendición de Cuentas</t>
        </is>
      </c>
      <c r="J807" t="n">
        <v>39</v>
      </c>
      <c r="K807" t="n">
        <v>0</v>
      </c>
      <c r="L807" t="n">
        <v>0</v>
      </c>
      <c r="M807" t="n">
        <v>0</v>
      </c>
      <c r="N807">
        <f>SUM(J807:M807)</f>
        <v/>
      </c>
      <c r="O807" s="4">
        <f>SUM(J807:L807)/SUM(J807:M807)</f>
        <v/>
      </c>
      <c r="P807" s="5">
        <f>MAX(J807:L807)/SUM(J807:L807)</f>
        <v/>
      </c>
    </row>
    <row r="808">
      <c r="A808" t="inlineStr">
        <is>
          <t>Tercer año</t>
        </is>
      </c>
      <c r="B808" t="inlineStr">
        <is>
          <t>Primer periodo</t>
        </is>
      </c>
      <c r="C808" t="n">
        <v>31</v>
      </c>
      <c r="D808" t="n">
        <v>806</v>
      </c>
      <c r="E808" s="3" t="n">
        <v>46296</v>
      </c>
      <c r="F808" t="inlineStr">
        <is>
          <t>Iniciativa</t>
        </is>
      </c>
      <c r="G808" t="inlineStr">
        <is>
          <t>Dictamen con minuta de decreto por el cual se autoriza al honorable ayuntamiento del municipio de, la enajenar bajo la figura jurídica de donación a título gratuito a favor del Gobierno del estado libre y soberano de, con destino a la Secretaría de Movilidad y Transporte, los polígonos propiedad del honorable ayuntamiento del municipio de, los cuales se destinarán a la construcción, instalación, equipamiento y operación de las estaciones correspondientes al "sistema de transporte por cable"</t>
        </is>
      </c>
      <c r="H808" t="n">
        <v>11</v>
      </c>
      <c r="I808" t="inlineStr">
        <is>
          <t>Infraestructura, Movilidad y Transporte</t>
        </is>
      </c>
      <c r="J808" t="n">
        <v>34</v>
      </c>
      <c r="K808" t="n">
        <v>5</v>
      </c>
      <c r="L808" t="n">
        <v>1</v>
      </c>
      <c r="M808" t="n">
        <v>0</v>
      </c>
      <c r="N808">
        <f>SUM(J808:M808)</f>
        <v/>
      </c>
      <c r="O808" s="4">
        <f>SUM(J808:L808)/SUM(J808:M808)</f>
        <v/>
      </c>
      <c r="P808" s="5">
        <f>MAX(J808:L808)/SUM(J808:L808)</f>
        <v/>
      </c>
    </row>
    <row r="809">
      <c r="A809" t="inlineStr">
        <is>
          <t>Tercer año</t>
        </is>
      </c>
      <c r="B809" t="inlineStr">
        <is>
          <t>Primer periodo</t>
        </is>
      </c>
      <c r="C809" t="n">
        <v>32</v>
      </c>
      <c r="D809" t="n">
        <v>807</v>
      </c>
      <c r="E809" s="3" t="n">
        <v>46296</v>
      </c>
      <c r="F809" t="inlineStr">
        <is>
          <t>Iniciativa</t>
        </is>
      </c>
      <c r="G809" t="inlineStr">
        <is>
          <t>Dictamen con minuta de decreto por el cual se autoriza al honorable ayuntamiento del municipio de, el acuerdo por el que destina al servicio de la Secretaría de Movilidad y Transporte del gobierno del estado libre y soberano de, el inmueble identificado como polígono de estación para el nodo de transferencia intermodal Mayorazgo</t>
        </is>
      </c>
      <c r="H809" t="n">
        <v>11</v>
      </c>
      <c r="I809" t="inlineStr">
        <is>
          <t>Infraestructura, Movilidad y Transporte</t>
        </is>
      </c>
      <c r="J809" t="n">
        <v>34</v>
      </c>
      <c r="K809" t="n">
        <v>5</v>
      </c>
      <c r="L809" t="n">
        <v>1</v>
      </c>
      <c r="M809" t="n">
        <v>0</v>
      </c>
      <c r="N809">
        <f>SUM(J809:M809)</f>
        <v/>
      </c>
      <c r="O809" s="4">
        <f>SUM(J809:L809)/SUM(J809:M809)</f>
        <v/>
      </c>
      <c r="P809" s="5">
        <f>MAX(J809:L809)/SUM(J809:L809)</f>
        <v/>
      </c>
    </row>
    <row r="810">
      <c r="A810" t="inlineStr">
        <is>
          <t>Tercer año</t>
        </is>
      </c>
      <c r="B810" t="inlineStr">
        <is>
          <t>Primer periodo</t>
        </is>
      </c>
      <c r="C810" t="n">
        <v>33</v>
      </c>
      <c r="D810" t="n">
        <v>808</v>
      </c>
      <c r="E810" s="3" t="n">
        <v>46296</v>
      </c>
      <c r="F810" t="inlineStr">
        <is>
          <t>Iniciativa</t>
        </is>
      </c>
      <c r="G810" t="inlineStr">
        <is>
          <t>Dictamen con minuta de decreto por el cual en términos de lo dispuesto por el artículo 71 de la Constitución Política de los, se aprueba remitir el proyecto de iniciativa que reforma y adiciona diversas disposiciones de la Ley del Impuesto Especial sobre Producción y Servicios, a la Cámara de Diputados del honorable Congreso de la Unión</t>
        </is>
      </c>
      <c r="H810" t="n">
        <v>7</v>
      </c>
      <c r="I810" t="inlineStr">
        <is>
          <t>Impuestos, Finanzas Públicas, Patrimonio estatal y municipal</t>
        </is>
      </c>
      <c r="J810" t="n">
        <v>40</v>
      </c>
      <c r="K810" t="n">
        <v>0</v>
      </c>
      <c r="L810" t="n">
        <v>0</v>
      </c>
      <c r="M810" t="n">
        <v>0</v>
      </c>
      <c r="N810">
        <f>SUM(J810:M810)</f>
        <v/>
      </c>
      <c r="O810" s="4">
        <f>SUM(J810:L810)/SUM(J810:M810)</f>
        <v/>
      </c>
      <c r="P810" s="5">
        <f>MAX(J810:L810)/SUM(J810:L810)</f>
        <v/>
      </c>
    </row>
    <row r="811">
      <c r="A811" t="inlineStr">
        <is>
          <t>Tercer año</t>
        </is>
      </c>
      <c r="B811" t="inlineStr">
        <is>
          <t>Primer periodo</t>
        </is>
      </c>
      <c r="C811" t="n">
        <v>34</v>
      </c>
      <c r="D811" t="n">
        <v>809</v>
      </c>
      <c r="E811" s="3" t="n">
        <v>46296</v>
      </c>
      <c r="F811" t="inlineStr">
        <is>
          <t>Punto de Acuerdo</t>
        </is>
      </c>
      <c r="G811" t="inlineStr">
        <is>
          <t>Acuerdo por el que se exhorta a los doscientos nueve ayuntamientos y a los ocho concejos municipales del estado</t>
        </is>
      </c>
      <c r="H811" t="n">
        <v>7</v>
      </c>
      <c r="I811" t="inlineStr">
        <is>
          <t>Impuestos, Finanzas Públicas, Patrimonio estatal y municipal</t>
        </is>
      </c>
      <c r="J811" t="n">
        <v>40</v>
      </c>
      <c r="K811" t="n">
        <v>0</v>
      </c>
      <c r="L811" t="n">
        <v>0</v>
      </c>
      <c r="M811" t="n">
        <v>0</v>
      </c>
      <c r="N811">
        <f>SUM(J811:M811)</f>
        <v/>
      </c>
      <c r="O811" s="4">
        <f>SUM(J811:L811)/SUM(J811:M811)</f>
        <v/>
      </c>
      <c r="P811" s="5">
        <f>MAX(J811:L811)/SUM(J811:L811)</f>
        <v/>
      </c>
    </row>
    <row r="812">
      <c r="A812" t="inlineStr">
        <is>
          <t>Tercer año</t>
        </is>
      </c>
      <c r="B812" t="inlineStr">
        <is>
          <t>Primer periodo</t>
        </is>
      </c>
      <c r="C812" t="n">
        <v>35</v>
      </c>
      <c r="D812" t="n">
        <v>810</v>
      </c>
      <c r="E812" s="3" t="n">
        <v>46296</v>
      </c>
      <c r="F812" t="inlineStr">
        <is>
          <t>Punto de Acuerdo</t>
        </is>
      </c>
      <c r="G812" t="inlineStr">
        <is>
          <t>Acuerdo por el que se exhorta respetuosamente a la Dirección General del Registro del Estado Civil de las personas del estado de</t>
        </is>
      </c>
      <c r="H812" t="n">
        <v>14</v>
      </c>
      <c r="I812" t="inlineStr">
        <is>
          <t>Justicia y Estado de Derecho</t>
        </is>
      </c>
      <c r="J812" t="n">
        <v>37</v>
      </c>
      <c r="K812" t="n">
        <v>3</v>
      </c>
      <c r="L812" t="n">
        <v>0</v>
      </c>
      <c r="M812" t="n">
        <v>0</v>
      </c>
      <c r="N812">
        <f>SUM(J812:M812)</f>
        <v/>
      </c>
      <c r="O812" s="4">
        <f>SUM(J812:L812)/SUM(J812:M812)</f>
        <v/>
      </c>
      <c r="P812" s="5">
        <f>MAX(J812:L812)/SUM(J812:L812)</f>
        <v/>
      </c>
    </row>
    <row r="813">
      <c r="A813" t="inlineStr">
        <is>
          <t>Tercer año</t>
        </is>
      </c>
      <c r="B813" t="inlineStr">
        <is>
          <t>Primer periodo</t>
        </is>
      </c>
      <c r="C813" t="n">
        <v>36</v>
      </c>
      <c r="D813" t="n">
        <v>811</v>
      </c>
      <c r="E813" s="3" t="n">
        <v>46296</v>
      </c>
      <c r="F813" t="inlineStr">
        <is>
          <t>Punto de Acuerdo</t>
        </is>
      </c>
      <c r="G813" t="inlineStr">
        <is>
          <t>Acuerdo por el que se exhorta a los diecinueve municipios que integran la zona metropolitana de la entidad</t>
        </is>
      </c>
      <c r="H813" t="n">
        <v>6</v>
      </c>
      <c r="I813" t="inlineStr">
        <is>
          <t>Salud</t>
        </is>
      </c>
      <c r="J813" t="n">
        <v>40</v>
      </c>
      <c r="K813" t="n">
        <v>0</v>
      </c>
      <c r="L813" t="n">
        <v>0</v>
      </c>
      <c r="M813" t="n">
        <v>0</v>
      </c>
      <c r="N813">
        <f>SUM(J813:M813)</f>
        <v/>
      </c>
      <c r="O813" s="4">
        <f>SUM(J813:L813)/SUM(J813:M813)</f>
        <v/>
      </c>
      <c r="P813" s="5">
        <f>MAX(J813:L813)/SUM(J813:L813)</f>
        <v/>
      </c>
    </row>
    <row r="814">
      <c r="A814" t="inlineStr">
        <is>
          <t>Tercer año</t>
        </is>
      </c>
      <c r="B814" t="inlineStr">
        <is>
          <t>Primer periodo</t>
        </is>
      </c>
      <c r="C814" t="n">
        <v>37</v>
      </c>
      <c r="D814" t="n">
        <v>812</v>
      </c>
      <c r="E814" s="3" t="n">
        <v>46296</v>
      </c>
      <c r="F814" t="inlineStr">
        <is>
          <t>Punto de Acuerdo</t>
        </is>
      </c>
      <c r="G814" t="inlineStr">
        <is>
          <t>Acuerdo por el que se exhorta a los diecinueve municipios que integran la zona metropolitana de la entidad</t>
        </is>
      </c>
      <c r="H814" t="n">
        <v>6</v>
      </c>
      <c r="I814" t="inlineStr">
        <is>
          <t>Salud</t>
        </is>
      </c>
      <c r="J814" t="n">
        <v>40</v>
      </c>
      <c r="K814" t="n">
        <v>0</v>
      </c>
      <c r="L814" t="n">
        <v>0</v>
      </c>
      <c r="M814" t="n">
        <v>0</v>
      </c>
      <c r="N814">
        <f>SUM(J814:M814)</f>
        <v/>
      </c>
      <c r="O814" s="4">
        <f>SUM(J814:L814)/SUM(J814:M814)</f>
        <v/>
      </c>
      <c r="P814" s="5">
        <f>MAX(J814:L814)/SUM(J814:L814)</f>
        <v/>
      </c>
    </row>
    <row r="815">
      <c r="A815" t="inlineStr">
        <is>
          <t>Tercer año</t>
        </is>
      </c>
      <c r="B815" t="inlineStr">
        <is>
          <t>Primer periodo</t>
        </is>
      </c>
      <c r="C815" t="n">
        <v>38</v>
      </c>
      <c r="D815" t="n">
        <v>813</v>
      </c>
      <c r="E815" s="3" t="n">
        <v>46296</v>
      </c>
      <c r="F815" t="inlineStr">
        <is>
          <t>Punto de Acuerdo</t>
        </is>
      </c>
      <c r="G815" t="inlineStr">
        <is>
          <t>Acuerdo por el que se exhorta a los diecinueve municipios que integran la zona metropolitana de la entidad</t>
        </is>
      </c>
      <c r="H815" t="n">
        <v>11</v>
      </c>
      <c r="I815" t="inlineStr">
        <is>
          <t>Infraestructura, Movilidad y Transporte</t>
        </is>
      </c>
      <c r="J815" t="n">
        <v>40</v>
      </c>
      <c r="K815" t="n">
        <v>0</v>
      </c>
      <c r="L815" t="n">
        <v>0</v>
      </c>
      <c r="M815" t="n">
        <v>0</v>
      </c>
      <c r="N815">
        <f>SUM(J815:M815)</f>
        <v/>
      </c>
      <c r="O815" s="4">
        <f>SUM(J815:L815)/SUM(J815:M815)</f>
        <v/>
      </c>
      <c r="P815" s="5">
        <f>MAX(J815:L815)/SUM(J815:L815)</f>
        <v/>
      </c>
    </row>
    <row r="816">
      <c r="A816" t="inlineStr">
        <is>
          <t>Tercer año</t>
        </is>
      </c>
      <c r="B816" t="inlineStr">
        <is>
          <t>Primer periodo</t>
        </is>
      </c>
      <c r="C816" t="n">
        <v>39</v>
      </c>
      <c r="D816" t="n">
        <v>814</v>
      </c>
      <c r="E816" s="3" t="n">
        <v>46296</v>
      </c>
      <c r="F816" t="inlineStr">
        <is>
          <t>Punto de Acuerdo</t>
        </is>
      </c>
      <c r="G816" t="inlineStr">
        <is>
          <t>Acuerdo por el que se exhorta al órgano de administración judicial del Poder Judicial del estado de</t>
        </is>
      </c>
      <c r="H816" t="n">
        <v>14</v>
      </c>
      <c r="I816" t="inlineStr">
        <is>
          <t>Justicia y Estado de Derecho</t>
        </is>
      </c>
      <c r="J816" t="n">
        <v>40</v>
      </c>
      <c r="K816" t="n">
        <v>0</v>
      </c>
      <c r="L816" t="n">
        <v>0</v>
      </c>
      <c r="M816" t="n">
        <v>0</v>
      </c>
      <c r="N816">
        <f>SUM(J816:M816)</f>
        <v/>
      </c>
      <c r="O816" s="4">
        <f>SUM(J816:L816)/SUM(J816:M816)</f>
        <v/>
      </c>
      <c r="P816" s="5">
        <f>MAX(J816:L816)/SUM(J816:L816)</f>
        <v/>
      </c>
    </row>
    <row r="817">
      <c r="A817" t="inlineStr">
        <is>
          <t>Tercer año</t>
        </is>
      </c>
      <c r="B817" t="inlineStr">
        <is>
          <t>Primer periodo</t>
        </is>
      </c>
      <c r="C817" t="n">
        <v>40</v>
      </c>
      <c r="D817" t="n">
        <v>815</v>
      </c>
      <c r="E817" s="3" t="n">
        <v>46296</v>
      </c>
      <c r="F817" t="inlineStr">
        <is>
          <t>Punto de Acuerdo</t>
        </is>
      </c>
      <c r="G817" t="inlineStr">
        <is>
          <t>Acuerdo por el que se exhorta a la Fiscalía General del estado de</t>
        </is>
      </c>
      <c r="H817" t="n">
        <v>3</v>
      </c>
      <c r="I817" t="inlineStr">
        <is>
          <t>Seguridad Pública, Protección Civil y Narcotráfico</t>
        </is>
      </c>
      <c r="J817" t="n">
        <v>40</v>
      </c>
      <c r="K817" t="n">
        <v>0</v>
      </c>
      <c r="L817" t="n">
        <v>0</v>
      </c>
      <c r="M817" t="n">
        <v>0</v>
      </c>
      <c r="N817">
        <f>SUM(J817:M817)</f>
        <v/>
      </c>
      <c r="O817" s="4">
        <f>SUM(J817:L817)/SUM(J817:M817)</f>
        <v/>
      </c>
      <c r="P817" s="5">
        <f>MAX(J817:L817)/SUM(J817:L817)</f>
        <v/>
      </c>
    </row>
    <row r="818">
      <c r="A818" t="inlineStr">
        <is>
          <t>Tercer año</t>
        </is>
      </c>
      <c r="B818" t="inlineStr">
        <is>
          <t>Primer periodo</t>
        </is>
      </c>
      <c r="C818" t="n">
        <v>41</v>
      </c>
      <c r="D818" t="n">
        <v>816</v>
      </c>
      <c r="E818" s="3" t="n">
        <v>46296</v>
      </c>
      <c r="F818" t="inlineStr">
        <is>
          <t>Punto de Acuerdo</t>
        </is>
      </c>
      <c r="G818" t="inlineStr">
        <is>
          <t>Acuerdo por el que se exhorta a la Fiscalía General del estado de y a la Secretaría de Seguridad Pública del estado</t>
        </is>
      </c>
      <c r="H818" t="n">
        <v>3</v>
      </c>
      <c r="I818" t="inlineStr">
        <is>
          <t>Seguridad Pública, Protección Civil y Narcotráfico</t>
        </is>
      </c>
      <c r="J818" t="n">
        <v>40</v>
      </c>
      <c r="K818" t="n">
        <v>0</v>
      </c>
      <c r="L818" t="n">
        <v>0</v>
      </c>
      <c r="M818" t="n">
        <v>0</v>
      </c>
      <c r="N818">
        <f>SUM(J818:M818)</f>
        <v/>
      </c>
      <c r="O818" s="4">
        <f>SUM(J818:L818)/SUM(J818:M818)</f>
        <v/>
      </c>
      <c r="P818" s="5">
        <f>MAX(J818:L818)/SUM(J818:L818)</f>
        <v/>
      </c>
    </row>
    <row r="819">
      <c r="A819" t="inlineStr">
        <is>
          <t>Tercer año</t>
        </is>
      </c>
      <c r="B819" t="inlineStr">
        <is>
          <t>Primer periodo</t>
        </is>
      </c>
      <c r="C819" t="n">
        <v>42</v>
      </c>
      <c r="D819" t="n">
        <v>817</v>
      </c>
      <c r="E819" s="3" t="n">
        <v>46296</v>
      </c>
      <c r="F819" t="inlineStr">
        <is>
          <t>Punto de Acuerdo</t>
        </is>
      </c>
      <c r="G819" t="inlineStr">
        <is>
          <t>Acuerdo por el que se exhorta a la Secretaría de Arte y Cultura del estado</t>
        </is>
      </c>
      <c r="H819" t="n">
        <v>8</v>
      </c>
      <c r="I819" t="inlineStr">
        <is>
          <t>Educación y Cultura</t>
        </is>
      </c>
      <c r="J819" t="n">
        <v>40</v>
      </c>
      <c r="K819" t="n">
        <v>0</v>
      </c>
      <c r="L819" t="n">
        <v>0</v>
      </c>
      <c r="M819" t="n">
        <v>0</v>
      </c>
      <c r="N819">
        <f>SUM(J819:M819)</f>
        <v/>
      </c>
      <c r="O819" s="4">
        <f>SUM(J819:L819)/SUM(J819:M819)</f>
        <v/>
      </c>
      <c r="P819" s="5">
        <f>MAX(J819:L819)/SUM(J819:L819)</f>
        <v/>
      </c>
    </row>
    <row r="820">
      <c r="A820" t="inlineStr">
        <is>
          <t>Tercer año</t>
        </is>
      </c>
      <c r="B820" t="inlineStr">
        <is>
          <t>Primer periodo</t>
        </is>
      </c>
      <c r="C820" t="n">
        <v>43</v>
      </c>
      <c r="D820" t="n">
        <v>818</v>
      </c>
      <c r="E820" s="3" t="n">
        <v>46296</v>
      </c>
      <c r="F820" t="inlineStr">
        <is>
          <t>Punto de Acuerdo</t>
        </is>
      </c>
      <c r="G820" t="inlineStr">
        <is>
          <t>Acuerdo por el que se exhorta a la Secretaría de Arte y Cultura del estado</t>
        </is>
      </c>
      <c r="H820" t="n">
        <v>8</v>
      </c>
      <c r="I820" t="inlineStr">
        <is>
          <t>Educación y Cultura</t>
        </is>
      </c>
      <c r="J820" t="n">
        <v>40</v>
      </c>
      <c r="K820" t="n">
        <v>0</v>
      </c>
      <c r="L820" t="n">
        <v>0</v>
      </c>
      <c r="M820" t="n">
        <v>0</v>
      </c>
      <c r="N820">
        <f>SUM(J820:M820)</f>
        <v/>
      </c>
      <c r="O820" s="4">
        <f>SUM(J820:L820)/SUM(J820:M820)</f>
        <v/>
      </c>
      <c r="P820" s="5">
        <f>MAX(J820:L820)/SUM(J820:L820)</f>
        <v/>
      </c>
    </row>
    <row r="821">
      <c r="A821" t="inlineStr">
        <is>
          <t>Tercer año</t>
        </is>
      </c>
      <c r="B821" t="inlineStr">
        <is>
          <t>Primer periodo</t>
        </is>
      </c>
      <c r="C821" t="n">
        <v>44</v>
      </c>
      <c r="D821" t="n">
        <v>819</v>
      </c>
      <c r="E821" s="3" t="n">
        <v>46296</v>
      </c>
      <c r="F821" t="inlineStr">
        <is>
          <t>Punto de Acuerdo</t>
        </is>
      </c>
      <c r="G821" t="inlineStr">
        <is>
          <t>Acuerdo por el que se exhorta a los doscientos nueve ayuntamientos y los ocho concejos municipales del estado</t>
        </is>
      </c>
      <c r="H821" t="n">
        <v>10</v>
      </c>
      <c r="I821" t="inlineStr">
        <is>
          <t>Transparencia y Rendición de Cuentas</t>
        </is>
      </c>
      <c r="J821" t="n">
        <v>40</v>
      </c>
      <c r="K821" t="n">
        <v>0</v>
      </c>
      <c r="L821" t="n">
        <v>0</v>
      </c>
      <c r="M821" t="n">
        <v>0</v>
      </c>
      <c r="N821">
        <f>SUM(J821:M821)</f>
        <v/>
      </c>
      <c r="O821" s="4">
        <f>SUM(J821:L821)/SUM(J821:M821)</f>
        <v/>
      </c>
      <c r="P821" s="5">
        <f>MAX(J821:L821)/SUM(J821:L821)</f>
        <v/>
      </c>
    </row>
    <row r="822">
      <c r="A822" t="inlineStr">
        <is>
          <t>Tercer año</t>
        </is>
      </c>
      <c r="B822" t="inlineStr">
        <is>
          <t>Primer periodo</t>
        </is>
      </c>
      <c r="C822" t="n">
        <v>45</v>
      </c>
      <c r="D822" t="n">
        <v>820</v>
      </c>
      <c r="E822" s="3" t="n">
        <v>46296</v>
      </c>
      <c r="F822" t="inlineStr">
        <is>
          <t>Punto de Acuerdo</t>
        </is>
      </c>
      <c r="G822" t="inlineStr">
        <is>
          <t>Acuerdo por el que se exhorta a la Secretaría de Movilidad y Transporte del estado</t>
        </is>
      </c>
      <c r="H822" t="n">
        <v>11</v>
      </c>
      <c r="I822" t="inlineStr">
        <is>
          <t>Infraestructura, Movilidad y Transporte</t>
        </is>
      </c>
      <c r="J822" t="n">
        <v>40</v>
      </c>
      <c r="K822" t="n">
        <v>0</v>
      </c>
      <c r="L822" t="n">
        <v>0</v>
      </c>
      <c r="M822" t="n">
        <v>0</v>
      </c>
      <c r="N822">
        <f>SUM(J822:M822)</f>
        <v/>
      </c>
      <c r="O822" s="4">
        <f>SUM(J822:L822)/SUM(J822:M822)</f>
        <v/>
      </c>
      <c r="P822" s="5">
        <f>MAX(J822:L822)/SUM(J822:L822)</f>
        <v/>
      </c>
    </row>
    <row r="823">
      <c r="A823" t="inlineStr">
        <is>
          <t>Tercer año</t>
        </is>
      </c>
      <c r="B823" t="inlineStr">
        <is>
          <t>Primer periodo</t>
        </is>
      </c>
      <c r="C823" t="n">
        <v>46</v>
      </c>
      <c r="D823" t="n">
        <v>821</v>
      </c>
      <c r="E823" s="3" t="n">
        <v>46296</v>
      </c>
      <c r="F823" t="inlineStr">
        <is>
          <t>Punto de Acuerdo</t>
        </is>
      </c>
      <c r="G823" t="inlineStr">
        <is>
          <t>Acuerdo por el que se exhorta al organismo público descentralizado denominado Carreteras de Cuota-</t>
        </is>
      </c>
      <c r="H823" t="n">
        <v>11</v>
      </c>
      <c r="I823" t="inlineStr">
        <is>
          <t>Infraestructura, Movilidad y Transporte</t>
        </is>
      </c>
      <c r="J823" t="n">
        <v>40</v>
      </c>
      <c r="K823" t="n">
        <v>0</v>
      </c>
      <c r="L823" t="n">
        <v>0</v>
      </c>
      <c r="M823" t="n">
        <v>0</v>
      </c>
      <c r="N823">
        <f>SUM(J823:M823)</f>
        <v/>
      </c>
      <c r="O823" s="4">
        <f>SUM(J823:L823)/SUM(J823:M823)</f>
        <v/>
      </c>
      <c r="P823" s="5">
        <f>MAX(J823:L823)/SUM(J823:L823)</f>
        <v/>
      </c>
    </row>
    <row r="824">
      <c r="A824" t="inlineStr">
        <is>
          <t>Tercer año</t>
        </is>
      </c>
      <c r="B824" t="inlineStr">
        <is>
          <t>Primer periodo</t>
        </is>
      </c>
      <c r="C824" t="n">
        <v>47</v>
      </c>
      <c r="D824" t="n">
        <v>822</v>
      </c>
      <c r="E824" s="3" t="n">
        <v>46296</v>
      </c>
      <c r="F824" t="inlineStr">
        <is>
          <t>Punto de Acuerdo</t>
        </is>
      </c>
      <c r="G824" t="inlineStr">
        <is>
          <t>Acuerdo por el que se exhorta a la Secretaría de Desarrollo Turístico</t>
        </is>
      </c>
      <c r="H824" t="n">
        <v>1</v>
      </c>
      <c r="I824" t="inlineStr">
        <is>
          <t>Economía, Comercio y Competitividad</t>
        </is>
      </c>
      <c r="J824" t="n">
        <v>40</v>
      </c>
      <c r="K824" t="n">
        <v>0</v>
      </c>
      <c r="L824" t="n">
        <v>0</v>
      </c>
      <c r="M824" t="n">
        <v>0</v>
      </c>
      <c r="N824">
        <f>SUM(J824:M824)</f>
        <v/>
      </c>
      <c r="O824" s="4">
        <f>SUM(J824:L824)/SUM(J824:M824)</f>
        <v/>
      </c>
      <c r="P824" s="5">
        <f>MAX(J824:L824)/SUM(J824:L824)</f>
        <v/>
      </c>
    </row>
    <row r="825">
      <c r="A825" t="inlineStr">
        <is>
          <t>Tercer año</t>
        </is>
      </c>
      <c r="B825" t="inlineStr">
        <is>
          <t>Primer periodo</t>
        </is>
      </c>
      <c r="C825" t="n">
        <v>48</v>
      </c>
      <c r="D825" t="n">
        <v>823</v>
      </c>
      <c r="E825" s="3" t="n">
        <v>46296</v>
      </c>
      <c r="F825" t="inlineStr">
        <is>
          <t>Punto de Acuerdo</t>
        </is>
      </c>
      <c r="G825" t="inlineStr">
        <is>
          <t>Acuerdo por el que se exhorta a la Secretaría de Desarrollo Turístico</t>
        </is>
      </c>
      <c r="H825" t="n">
        <v>1</v>
      </c>
      <c r="I825" t="inlineStr">
        <is>
          <t>Economía, Comercio y Competitividad</t>
        </is>
      </c>
      <c r="J825" t="n">
        <v>40</v>
      </c>
      <c r="K825" t="n">
        <v>0</v>
      </c>
      <c r="L825" t="n">
        <v>0</v>
      </c>
      <c r="M825" t="n">
        <v>0</v>
      </c>
      <c r="N825">
        <f>SUM(J825:M825)</f>
        <v/>
      </c>
      <c r="O825" s="4">
        <f>SUM(J825:L825)/SUM(J825:M825)</f>
        <v/>
      </c>
      <c r="P825" s="5">
        <f>MAX(J825:L825)/SUM(J825:L825)</f>
        <v/>
      </c>
    </row>
    <row r="826">
      <c r="A826" t="inlineStr">
        <is>
          <t>Tercer año</t>
        </is>
      </c>
      <c r="B826" t="inlineStr">
        <is>
          <t>Primer periodo</t>
        </is>
      </c>
      <c r="C826" t="n">
        <v>49</v>
      </c>
      <c r="D826" t="n">
        <v>824</v>
      </c>
      <c r="E826" s="3" t="n">
        <v>46296</v>
      </c>
      <c r="F826" t="inlineStr">
        <is>
          <t>Punto de Acuerdo</t>
        </is>
      </c>
      <c r="G826" t="inlineStr">
        <is>
          <t>Acuerdo por el que se exhorta a las Secretarías de Desarrollo Turístico, y a la de Medio Ambiente, Desarrollo Sustentable y Ordenamiento Territorial</t>
        </is>
      </c>
      <c r="H826" t="n">
        <v>5</v>
      </c>
      <c r="I826" t="inlineStr">
        <is>
          <t>Medio Ambiente</t>
        </is>
      </c>
      <c r="J826" t="n">
        <v>40</v>
      </c>
      <c r="K826" t="n">
        <v>0</v>
      </c>
      <c r="L826" t="n">
        <v>0</v>
      </c>
      <c r="M826" t="n">
        <v>0</v>
      </c>
      <c r="N826">
        <f>SUM(J826:M826)</f>
        <v/>
      </c>
      <c r="O826" s="4">
        <f>SUM(J826:L826)/SUM(J826:M826)</f>
        <v/>
      </c>
      <c r="P826" s="5">
        <f>MAX(J826:L826)/SUM(J826:L826)</f>
        <v/>
      </c>
    </row>
    <row r="827">
      <c r="A827" t="inlineStr">
        <is>
          <t>Tercer año</t>
        </is>
      </c>
      <c r="B827" t="inlineStr">
        <is>
          <t>Primer periodo</t>
        </is>
      </c>
      <c r="C827" t="n">
        <v>50</v>
      </c>
      <c r="D827" t="n">
        <v>825</v>
      </c>
      <c r="E827" s="3" t="n">
        <v>46296</v>
      </c>
      <c r="F827" t="inlineStr">
        <is>
          <t>Punto de Acuerdo</t>
        </is>
      </c>
      <c r="G827" t="inlineStr">
        <is>
          <t>Acuerdo por el que se exhorta a la Secretaría de Deporte y Juventud del estado</t>
        </is>
      </c>
      <c r="H827" t="n">
        <v>6</v>
      </c>
      <c r="I827" t="inlineStr">
        <is>
          <t>Salud</t>
        </is>
      </c>
      <c r="J827" t="n">
        <v>40</v>
      </c>
      <c r="K827" t="n">
        <v>0</v>
      </c>
      <c r="L827" t="n">
        <v>0</v>
      </c>
      <c r="M827" t="n">
        <v>0</v>
      </c>
      <c r="N827">
        <f>SUM(J827:M827)</f>
        <v/>
      </c>
      <c r="O827" s="4">
        <f>SUM(J827:L827)/SUM(J827:M827)</f>
        <v/>
      </c>
      <c r="P827" s="5">
        <f>MAX(J827:L827)/SUM(J827:L827)</f>
        <v/>
      </c>
    </row>
    <row r="828">
      <c r="A828" t="inlineStr">
        <is>
          <t>Tercer año</t>
        </is>
      </c>
      <c r="B828" t="inlineStr">
        <is>
          <t>Primer periodo</t>
        </is>
      </c>
      <c r="C828" t="n">
        <v>51</v>
      </c>
      <c r="D828" t="n">
        <v>826</v>
      </c>
      <c r="E828" s="3" t="n">
        <v>46296</v>
      </c>
      <c r="F828" t="inlineStr">
        <is>
          <t>Punto de Acuerdo</t>
        </is>
      </c>
      <c r="G828" t="inlineStr">
        <is>
          <t>Acuerdo por el que se exhorta a las Secretarías de Deporte y Juventud, y a la de Educación Pública, ambas del estado</t>
        </is>
      </c>
      <c r="H828" t="n">
        <v>6</v>
      </c>
      <c r="I828" t="inlineStr">
        <is>
          <t>Salud</t>
        </is>
      </c>
      <c r="J828" t="n">
        <v>40</v>
      </c>
      <c r="K828" t="n">
        <v>0</v>
      </c>
      <c r="L828" t="n">
        <v>0</v>
      </c>
      <c r="M828" t="n">
        <v>0</v>
      </c>
      <c r="N828">
        <f>SUM(J828:M828)</f>
        <v/>
      </c>
      <c r="O828" s="4">
        <f>SUM(J828:L828)/SUM(J828:M828)</f>
        <v/>
      </c>
      <c r="P828" s="5">
        <f>MAX(J828:L828)/SUM(J828:L828)</f>
        <v/>
      </c>
    </row>
    <row r="829">
      <c r="A829" t="inlineStr">
        <is>
          <t>Tercer año</t>
        </is>
      </c>
      <c r="B829" t="inlineStr">
        <is>
          <t>Primer periodo</t>
        </is>
      </c>
      <c r="C829" t="n">
        <v>52</v>
      </c>
      <c r="D829" t="n">
        <v>827</v>
      </c>
      <c r="E829" s="3" t="n">
        <v>46296</v>
      </c>
      <c r="F829" t="inlineStr">
        <is>
          <t>Punto de Acuerdo</t>
        </is>
      </c>
      <c r="G829" t="inlineStr">
        <is>
          <t>Acuerdo por el cual se prorroga la sesión hasta concluir todos los puntos del orden del día</t>
        </is>
      </c>
      <c r="H829" t="n">
        <v>19</v>
      </c>
      <c r="I829" t="inlineStr">
        <is>
          <t>Internos del Congreso</t>
        </is>
      </c>
      <c r="J829" t="n">
        <v>40</v>
      </c>
      <c r="K829" t="n">
        <v>0</v>
      </c>
      <c r="L829" t="n">
        <v>0</v>
      </c>
      <c r="M829" t="n">
        <v>0</v>
      </c>
      <c r="N829">
        <f>SUM(J829:M829)</f>
        <v/>
      </c>
      <c r="O829" s="4">
        <f>SUM(J829:L829)/SUM(J829:M829)</f>
        <v/>
      </c>
      <c r="P829" s="5">
        <f>MAX(J829:L829)/SUM(J829:L829)</f>
        <v/>
      </c>
    </row>
    <row r="830">
      <c r="A830" t="inlineStr">
        <is>
          <t>Tercer año</t>
        </is>
      </c>
      <c r="B830" t="inlineStr">
        <is>
          <t>Primer periodo</t>
        </is>
      </c>
      <c r="C830" t="n">
        <v>53</v>
      </c>
      <c r="D830" t="n">
        <v>828</v>
      </c>
      <c r="E830" s="3" t="n">
        <v>46296</v>
      </c>
      <c r="F830" t="inlineStr">
        <is>
          <t>Punto de Acuerdo</t>
        </is>
      </c>
      <c r="G830" t="inlineStr">
        <is>
          <t>Acuerdo por el que se exhorta a los doscientos nueve ayuntamientos y los ocho concejos municipales del estado de</t>
        </is>
      </c>
      <c r="H830" t="n">
        <v>8</v>
      </c>
      <c r="I830" t="inlineStr">
        <is>
          <t>Educación y Cultura</t>
        </is>
      </c>
      <c r="J830" t="n">
        <v>40</v>
      </c>
      <c r="K830" t="n">
        <v>0</v>
      </c>
      <c r="L830" t="n">
        <v>0</v>
      </c>
      <c r="M830" t="n">
        <v>0</v>
      </c>
      <c r="N830">
        <f>SUM(J830:M830)</f>
        <v/>
      </c>
      <c r="O830" s="4">
        <f>SUM(J830:L830)/SUM(J830:M830)</f>
        <v/>
      </c>
      <c r="P830" s="5">
        <f>MAX(J830:L830)/SUM(J830:L830)</f>
        <v/>
      </c>
    </row>
    <row r="831">
      <c r="A831" t="inlineStr">
        <is>
          <t>Tercer año</t>
        </is>
      </c>
      <c r="B831" t="inlineStr">
        <is>
          <t>Primer periodo</t>
        </is>
      </c>
      <c r="C831" t="n">
        <v>54</v>
      </c>
      <c r="D831" t="n">
        <v>829</v>
      </c>
      <c r="E831" s="3" t="n">
        <v>46296</v>
      </c>
      <c r="F831" t="inlineStr">
        <is>
          <t>Punto de Acuerdo</t>
        </is>
      </c>
      <c r="G831" t="inlineStr">
        <is>
          <t>Acuerdo por el que se exhorta a los doscientos nueve ayuntamientos y a los ocho concejos municipales del estado</t>
        </is>
      </c>
      <c r="H831" t="n">
        <v>2</v>
      </c>
      <c r="I831" t="inlineStr">
        <is>
          <t>Pobreza y Política Social</t>
        </is>
      </c>
      <c r="J831" t="n">
        <v>40</v>
      </c>
      <c r="K831" t="n">
        <v>0</v>
      </c>
      <c r="L831" t="n">
        <v>0</v>
      </c>
      <c r="M831" t="n">
        <v>0</v>
      </c>
      <c r="N831">
        <f>SUM(J831:M831)</f>
        <v/>
      </c>
      <c r="O831" s="4">
        <f>SUM(J831:L831)/SUM(J831:M831)</f>
        <v/>
      </c>
      <c r="P831" s="5">
        <f>MAX(J831:L831)/SUM(J831:L831)</f>
        <v/>
      </c>
    </row>
    <row r="832">
      <c r="A832" t="inlineStr">
        <is>
          <t>Tercer año</t>
        </is>
      </c>
      <c r="B832" t="inlineStr">
        <is>
          <t>Primer periodo</t>
        </is>
      </c>
      <c r="C832" t="n">
        <v>55</v>
      </c>
      <c r="D832" t="n">
        <v>830</v>
      </c>
      <c r="E832" s="3" t="n">
        <v>46296</v>
      </c>
      <c r="F832" t="inlineStr">
        <is>
          <t>Punto de Acuerdo</t>
        </is>
      </c>
      <c r="G832" t="inlineStr">
        <is>
          <t>Acuerdo por el que se exhorta a la Secretaría de Bienestar del Gobierno Federal</t>
        </is>
      </c>
      <c r="H832" t="n">
        <v>2</v>
      </c>
      <c r="I832" t="inlineStr">
        <is>
          <t>Pobreza y Política Social</t>
        </is>
      </c>
      <c r="J832" t="n">
        <v>40</v>
      </c>
      <c r="K832" t="n">
        <v>0</v>
      </c>
      <c r="L832" t="n">
        <v>0</v>
      </c>
      <c r="M832" t="n">
        <v>0</v>
      </c>
      <c r="N832">
        <f>SUM(J832:M832)</f>
        <v/>
      </c>
      <c r="O832" s="4">
        <f>SUM(J832:L832)/SUM(J832:M832)</f>
        <v/>
      </c>
      <c r="P832" s="5">
        <f>MAX(J832:L832)/SUM(J832:L832)</f>
        <v/>
      </c>
    </row>
    <row r="833">
      <c r="A833" t="inlineStr">
        <is>
          <t>Tercer año</t>
        </is>
      </c>
      <c r="B833" t="inlineStr">
        <is>
          <t>Primer periodo</t>
        </is>
      </c>
      <c r="C833" t="n">
        <v>56</v>
      </c>
      <c r="D833" t="n">
        <v>831</v>
      </c>
      <c r="E833" s="3" t="n">
        <v>46296</v>
      </c>
      <c r="F833" t="inlineStr">
        <is>
          <t>Punto de Acuerdo</t>
        </is>
      </c>
      <c r="G833" t="inlineStr">
        <is>
          <t>Acuerdo por el que se exhorta a los doscientos nueve ayuntamientos y a los ocho concejos municipales del estado de</t>
        </is>
      </c>
      <c r="H833" t="n">
        <v>20</v>
      </c>
      <c r="I833" t="inlineStr">
        <is>
          <t>Justicia y Estado de Derecho en temas de Mujeres</t>
        </is>
      </c>
      <c r="J833" t="n">
        <v>40</v>
      </c>
      <c r="K833" t="n">
        <v>0</v>
      </c>
      <c r="L833" t="n">
        <v>0</v>
      </c>
      <c r="M833" t="n">
        <v>0</v>
      </c>
      <c r="N833">
        <f>SUM(J833:M833)</f>
        <v/>
      </c>
      <c r="O833" s="4">
        <f>SUM(J833:L833)/SUM(J833:M833)</f>
        <v/>
      </c>
      <c r="P833" s="5">
        <f>MAX(J833:L833)/SUM(J833:L833)</f>
        <v/>
      </c>
    </row>
    <row r="834">
      <c r="A834" t="inlineStr">
        <is>
          <t>Tercer año</t>
        </is>
      </c>
      <c r="B834" t="inlineStr">
        <is>
          <t>Primer periodo</t>
        </is>
      </c>
      <c r="C834" t="n">
        <v>57</v>
      </c>
      <c r="D834" t="n">
        <v>832</v>
      </c>
      <c r="E834" s="3" t="n">
        <v>46296</v>
      </c>
      <c r="F834" t="inlineStr">
        <is>
          <t>Punto de Acuerdo</t>
        </is>
      </c>
      <c r="G834" t="inlineStr">
        <is>
          <t>Acuerdo por el que se exhorta a los doscientos nueve ayuntamientos y a los ocho concejos municipales del estado de</t>
        </is>
      </c>
      <c r="H834" t="n">
        <v>20</v>
      </c>
      <c r="I834" t="inlineStr">
        <is>
          <t>Justicia y Estado de Derecho en temas de Mujeres</t>
        </is>
      </c>
      <c r="J834" t="n">
        <v>40</v>
      </c>
      <c r="K834" t="n">
        <v>0</v>
      </c>
      <c r="L834" t="n">
        <v>0</v>
      </c>
      <c r="M834" t="n">
        <v>0</v>
      </c>
      <c r="N834">
        <f>SUM(J834:M834)</f>
        <v/>
      </c>
      <c r="O834" s="4">
        <f>SUM(J834:L834)/SUM(J834:M834)</f>
        <v/>
      </c>
      <c r="P834" s="5">
        <f>MAX(J834:L834)/SUM(J834:L834)</f>
        <v/>
      </c>
    </row>
    <row r="835">
      <c r="A835" t="inlineStr">
        <is>
          <t>Tercer año</t>
        </is>
      </c>
      <c r="B835" t="inlineStr">
        <is>
          <t>Primer periodo</t>
        </is>
      </c>
      <c r="C835" t="n">
        <v>58</v>
      </c>
      <c r="D835" t="n">
        <v>833</v>
      </c>
      <c r="E835" s="3" t="n">
        <v>46296</v>
      </c>
      <c r="F835" t="inlineStr">
        <is>
          <t>Punto de Acuerdo</t>
        </is>
      </c>
      <c r="G835" t="inlineStr">
        <is>
          <t>Acuerdo por el que se exhorta a la Secretaría de Medio Ambiente, Desarrollo Sustentable y Ordenamiento Territorial del estado</t>
        </is>
      </c>
      <c r="H835" t="n">
        <v>5</v>
      </c>
      <c r="I835" t="inlineStr">
        <is>
          <t>Medio Ambiente</t>
        </is>
      </c>
      <c r="J835" t="n">
        <v>40</v>
      </c>
      <c r="K835" t="n">
        <v>0</v>
      </c>
      <c r="L835" t="n">
        <v>0</v>
      </c>
      <c r="M835" t="n">
        <v>0</v>
      </c>
      <c r="N835">
        <f>SUM(J835:M835)</f>
        <v/>
      </c>
      <c r="O835" s="4">
        <f>SUM(J835:L835)/SUM(J835:M835)</f>
        <v/>
      </c>
      <c r="P835" s="5">
        <f>MAX(J835:L835)/SUM(J835:L835)</f>
        <v/>
      </c>
    </row>
    <row r="836">
      <c r="A836" t="inlineStr">
        <is>
          <t>Tercer año</t>
        </is>
      </c>
      <c r="B836" t="inlineStr">
        <is>
          <t>Primer periodo</t>
        </is>
      </c>
      <c r="C836" t="n">
        <v>59</v>
      </c>
      <c r="D836" t="n">
        <v>834</v>
      </c>
      <c r="E836" s="3" t="n">
        <v>46296</v>
      </c>
      <c r="F836" t="inlineStr">
        <is>
          <t>Punto de Acuerdo</t>
        </is>
      </c>
      <c r="G836" t="inlineStr">
        <is>
          <t>Acuerdo por el que se exhorta a la Secretaría de Medio Ambiente, Desarrollo Sustentable y Ordenamiento Territorial del estado</t>
        </is>
      </c>
      <c r="H836" t="n">
        <v>5</v>
      </c>
      <c r="I836" t="inlineStr">
        <is>
          <t>Medio Ambiente</t>
        </is>
      </c>
      <c r="J836" t="n">
        <v>40</v>
      </c>
      <c r="K836" t="n">
        <v>0</v>
      </c>
      <c r="L836" t="n">
        <v>0</v>
      </c>
      <c r="M836" t="n">
        <v>0</v>
      </c>
      <c r="N836">
        <f>SUM(J836:M836)</f>
        <v/>
      </c>
      <c r="O836" s="4">
        <f>SUM(J836:L836)/SUM(J836:M836)</f>
        <v/>
      </c>
      <c r="P836" s="5">
        <f>MAX(J836:L836)/SUM(J836:L836)</f>
        <v/>
      </c>
    </row>
    <row r="837">
      <c r="A837" t="inlineStr">
        <is>
          <t>Tercer año</t>
        </is>
      </c>
      <c r="B837" t="inlineStr">
        <is>
          <t>Primer periodo</t>
        </is>
      </c>
      <c r="C837" t="n">
        <v>60</v>
      </c>
      <c r="D837" t="n">
        <v>835</v>
      </c>
      <c r="E837" s="3" t="n">
        <v>46296</v>
      </c>
      <c r="F837" t="inlineStr">
        <is>
          <t>Punto de Acuerdo</t>
        </is>
      </c>
      <c r="G837" t="inlineStr">
        <is>
          <t>Acuerdo por el que se exhorta a los doscientos nueve ayuntamientos y los ocho concejos municipales del estado</t>
        </is>
      </c>
      <c r="H837" t="n">
        <v>5</v>
      </c>
      <c r="I837" t="inlineStr">
        <is>
          <t>Medio Ambiente</t>
        </is>
      </c>
      <c r="J837" t="n">
        <v>40</v>
      </c>
      <c r="K837" t="n">
        <v>0</v>
      </c>
      <c r="L837" t="n">
        <v>0</v>
      </c>
      <c r="M837" t="n">
        <v>0</v>
      </c>
      <c r="N837">
        <f>SUM(J837:M837)</f>
        <v/>
      </c>
      <c r="O837" s="4">
        <f>SUM(J837:L837)/SUM(J837:M837)</f>
        <v/>
      </c>
      <c r="P837" s="5">
        <f>MAX(J837:L837)/SUM(J837:L837)</f>
        <v/>
      </c>
    </row>
    <row r="838">
      <c r="A838" t="inlineStr">
        <is>
          <t>Tercer año</t>
        </is>
      </c>
      <c r="B838" t="inlineStr">
        <is>
          <t>Primer periodo</t>
        </is>
      </c>
      <c r="C838" t="n">
        <v>61</v>
      </c>
      <c r="D838" t="n">
        <v>836</v>
      </c>
      <c r="E838" s="3" t="n">
        <v>46296</v>
      </c>
      <c r="F838" t="inlineStr">
        <is>
          <t>Punto de Acuerdo</t>
        </is>
      </c>
      <c r="G838" t="inlineStr">
        <is>
          <t>Acuerdo por el que se exhorta a los doscientos nueve ayuntamientos y los ocho concejos municipales del estado</t>
        </is>
      </c>
      <c r="H838" t="n">
        <v>5</v>
      </c>
      <c r="I838" t="inlineStr">
        <is>
          <t>Medio Ambiente</t>
        </is>
      </c>
      <c r="J838" t="n">
        <v>40</v>
      </c>
      <c r="K838" t="n">
        <v>0</v>
      </c>
      <c r="L838" t="n">
        <v>0</v>
      </c>
      <c r="M838" t="n">
        <v>0</v>
      </c>
      <c r="N838">
        <f>SUM(J838:M838)</f>
        <v/>
      </c>
      <c r="O838" s="4">
        <f>SUM(J838:L838)/SUM(J838:M838)</f>
        <v/>
      </c>
      <c r="P838" s="5">
        <f>MAX(J838:L838)/SUM(J838:L838)</f>
        <v/>
      </c>
    </row>
    <row r="839">
      <c r="A839" t="inlineStr">
        <is>
          <t>Tercer año</t>
        </is>
      </c>
      <c r="B839" t="inlineStr">
        <is>
          <t>Primer periodo</t>
        </is>
      </c>
      <c r="C839" t="n">
        <v>62</v>
      </c>
      <c r="D839" t="n">
        <v>837</v>
      </c>
      <c r="E839" s="3" t="n">
        <v>46296</v>
      </c>
      <c r="F839" t="inlineStr">
        <is>
          <t>Punto de Acuerdo</t>
        </is>
      </c>
      <c r="G839" t="inlineStr">
        <is>
          <t>Acuerdo por el que se exhorta a la Auditoría Superior del estado</t>
        </is>
      </c>
      <c r="H839" t="n">
        <v>10</v>
      </c>
      <c r="I839" t="inlineStr">
        <is>
          <t>Transparencia y Rendición de Cuentas</t>
        </is>
      </c>
      <c r="J839" t="n">
        <v>40</v>
      </c>
      <c r="K839" t="n">
        <v>0</v>
      </c>
      <c r="L839" t="n">
        <v>0</v>
      </c>
      <c r="M839" t="n">
        <v>0</v>
      </c>
      <c r="N839">
        <f>SUM(J839:M839)</f>
        <v/>
      </c>
      <c r="O839" s="4">
        <f>SUM(J839:L839)/SUM(J839:M839)</f>
        <v/>
      </c>
      <c r="P839" s="5">
        <f>MAX(J839:L839)/SUM(J839:L839)</f>
        <v/>
      </c>
    </row>
    <row r="840">
      <c r="A840" t="inlineStr">
        <is>
          <t>Tercer año</t>
        </is>
      </c>
      <c r="B840" t="inlineStr">
        <is>
          <t>Primer periodo</t>
        </is>
      </c>
      <c r="C840" t="n">
        <v>63</v>
      </c>
      <c r="D840" t="n">
        <v>838</v>
      </c>
      <c r="E840" s="3" t="n">
        <v>46296</v>
      </c>
      <c r="F840" t="inlineStr">
        <is>
          <t>Punto de Acuerdo</t>
        </is>
      </c>
      <c r="G840" t="inlineStr">
        <is>
          <t>Acuerdo por el que se exhorta a los doscientos nueve ayuntamientos y los ocho concejos municipales de la entidad</t>
        </is>
      </c>
      <c r="H840" t="n">
        <v>10</v>
      </c>
      <c r="I840" t="inlineStr">
        <is>
          <t>Transparencia y Rendición de Cuentas</t>
        </is>
      </c>
      <c r="J840" t="n">
        <v>40</v>
      </c>
      <c r="K840" t="n">
        <v>0</v>
      </c>
      <c r="L840" t="n">
        <v>0</v>
      </c>
      <c r="M840" t="n">
        <v>0</v>
      </c>
      <c r="N840">
        <f>SUM(J840:M840)</f>
        <v/>
      </c>
      <c r="O840" s="4">
        <f>SUM(J840:L840)/SUM(J840:M840)</f>
        <v/>
      </c>
      <c r="P840" s="5">
        <f>MAX(J840:L840)/SUM(J840:L840)</f>
        <v/>
      </c>
    </row>
    <row r="841">
      <c r="A841" t="inlineStr">
        <is>
          <t>Tercer año</t>
        </is>
      </c>
      <c r="B841" t="inlineStr">
        <is>
          <t>Primer periodo</t>
        </is>
      </c>
      <c r="C841" t="n">
        <v>64</v>
      </c>
      <c r="D841" t="n">
        <v>839</v>
      </c>
      <c r="E841" s="3" t="n">
        <v>46296</v>
      </c>
      <c r="F841" t="inlineStr">
        <is>
          <t>Punto de Acuerdo</t>
        </is>
      </c>
      <c r="G841" t="inlineStr">
        <is>
          <t>Acuerdo por el que se exhorta a los doscientos nueve ayuntamientos y los ocho concejos municipales del estado</t>
        </is>
      </c>
      <c r="H841" t="n">
        <v>10</v>
      </c>
      <c r="I841" t="inlineStr">
        <is>
          <t>Transparencia y Rendición de Cuentas</t>
        </is>
      </c>
      <c r="J841" t="n">
        <v>40</v>
      </c>
      <c r="K841" t="n">
        <v>0</v>
      </c>
      <c r="L841" t="n">
        <v>0</v>
      </c>
      <c r="M841" t="n">
        <v>0</v>
      </c>
      <c r="N841">
        <f>SUM(J841:M841)</f>
        <v/>
      </c>
      <c r="O841" s="4">
        <f>SUM(J841:L841)/SUM(J841:M841)</f>
        <v/>
      </c>
      <c r="P841" s="5">
        <f>MAX(J841:L841)/SUM(J841:L841)</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2026-10-12T02:15:56Z</dcterms:created>
  <dcterms:modified xsi:type="dcterms:W3CDTF">2026-10-12T02:15:56Z</dcterms:modified>
</cp:coreProperties>
</file>