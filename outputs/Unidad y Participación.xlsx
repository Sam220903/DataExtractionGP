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ja 1" sheetId="1" state="visible" r:id="rId1"/>
  </sheets>
  <definedNames/>
  <calcPr calcId="124519" fullCalcOnLoad="1"/>
</workbook>
</file>

<file path=xl/styles.xml><?xml version="1.0" encoding="utf-8"?>
<styleSheet xmlns="http://schemas.openxmlformats.org/spreadsheetml/2006/main">
  <numFmts count="2">
    <numFmt numFmtId="164" formatCode="yyyy-mm-dd h:mm:ss"/>
    <numFmt numFmtId="165" formatCode="dd/mm/yyyy"/>
  </numFmts>
  <fonts count="2">
    <font>
      <name val="Calibri"/>
      <family val="2"/>
      <color theme="1"/>
      <sz val="11"/>
      <scheme val="minor"/>
    </font>
    <font>
      <b val="1"/>
    </font>
  </fonts>
  <fills count="3">
    <fill>
      <patternFill/>
    </fill>
    <fill>
      <patternFill patternType="gray125"/>
    </fill>
    <fill>
      <patternFill patternType="solid">
        <fgColor rgb="00FFFF00"/>
        <bgColor rgb="00FFFF0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1" fillId="2" borderId="0" pivotButton="0" quotePrefix="0" xfId="0"/>
    <xf numFmtId="165" fontId="0" fillId="0" borderId="0" pivotButton="0" quotePrefix="0" xfId="0"/>
    <xf numFmtId="9"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6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Año Legislatura</t>
        </is>
      </c>
      <c r="B1" s="1" t="inlineStr">
        <is>
          <t>Periodo</t>
        </is>
      </c>
      <c r="C1" s="2" t="inlineStr">
        <is>
          <t>Folio periodo</t>
        </is>
      </c>
      <c r="D1" s="2" t="inlineStr">
        <is>
          <t>Folio legislatura</t>
        </is>
      </c>
      <c r="E1" s="1" t="inlineStr">
        <is>
          <t>Fecha</t>
        </is>
      </c>
      <c r="F1" s="1" t="inlineStr">
        <is>
          <t>Tipo</t>
        </is>
      </c>
      <c r="G1" s="1" t="inlineStr">
        <is>
          <t>Título</t>
        </is>
      </c>
      <c r="H1" s="2" t="inlineStr">
        <is>
          <t>Tema 1</t>
        </is>
      </c>
      <c r="I1" s="2" t="inlineStr">
        <is>
          <t>Tema</t>
        </is>
      </c>
      <c r="J1" s="1" t="inlineStr">
        <is>
          <t>A favor</t>
        </is>
      </c>
      <c r="K1" s="1" t="inlineStr">
        <is>
          <t>Contra</t>
        </is>
      </c>
      <c r="L1" s="1" t="inlineStr">
        <is>
          <t>Abstenciones</t>
        </is>
      </c>
      <c r="M1" s="1" t="inlineStr">
        <is>
          <t>Ausentes</t>
        </is>
      </c>
      <c r="N1" s="1" t="inlineStr">
        <is>
          <t>Total</t>
        </is>
      </c>
      <c r="O1" s="1" t="inlineStr">
        <is>
          <t>Porcentaje de Participación</t>
        </is>
      </c>
      <c r="P1" s="1" t="inlineStr">
        <is>
          <t>Unidad</t>
        </is>
      </c>
    </row>
    <row r="2">
      <c r="A2" t="inlineStr">
        <is>
          <t>Tercer año</t>
        </is>
      </c>
      <c r="B2" t="inlineStr">
        <is>
          <t>Tercer periodo</t>
        </is>
      </c>
      <c r="C2" t="n">
        <v>1</v>
      </c>
      <c r="D2" t="n">
        <v>1</v>
      </c>
      <c r="E2" s="3" t="n">
        <v>45545</v>
      </c>
      <c r="F2" t="inlineStr">
        <is>
          <t>Punto de Acuerdo</t>
        </is>
      </c>
      <c r="G2" t="inlineStr">
        <is>
          <t>Elección de una presidencia, dos vicepresidencias, dos secretarías y dos pro-secretarías que integrarán la primera mesa directiva</t>
        </is>
      </c>
      <c r="H2" t="n">
        <v>19</v>
      </c>
      <c r="I2" t="inlineStr">
        <is>
          <t>Internos del Congreso</t>
        </is>
      </c>
      <c r="J2" t="n">
        <v>40</v>
      </c>
      <c r="K2" t="n">
        <v>0</v>
      </c>
      <c r="L2" t="n">
        <v>0</v>
      </c>
      <c r="M2" t="n">
        <v>0</v>
      </c>
      <c r="N2">
        <f>SUM(J2:M2)</f>
        <v/>
      </c>
      <c r="O2" s="4">
        <f>SUM(J2:L2)/SUM(J2:M2)</f>
        <v/>
      </c>
      <c r="P2" s="5">
        <f>MAX(J2:L2)/SUM(J2:L2)</f>
        <v/>
      </c>
    </row>
    <row r="3">
      <c r="A3" t="inlineStr">
        <is>
          <t>Primer año</t>
        </is>
      </c>
      <c r="B3" t="inlineStr">
        <is>
          <t>Primer periodo</t>
        </is>
      </c>
      <c r="C3" t="n">
        <v>1</v>
      </c>
      <c r="D3" t="n">
        <v>1</v>
      </c>
      <c r="E3" s="3" t="n">
        <v>45554</v>
      </c>
      <c r="F3" t="inlineStr">
        <is>
          <t>Punto de Acuerdo</t>
        </is>
      </c>
      <c r="G3" t="inlineStr">
        <is>
          <t>Acuerdo para la elección e integración de la Comisión de Gobernación y Puntos Constitucionales</t>
        </is>
      </c>
      <c r="H3" t="n">
        <v>19</v>
      </c>
      <c r="I3" t="inlineStr">
        <is>
          <t>Internos del Congreso</t>
        </is>
      </c>
      <c r="J3" t="n">
        <v>41</v>
      </c>
      <c r="K3" t="n">
        <v>0</v>
      </c>
      <c r="L3" t="n">
        <v>0</v>
      </c>
      <c r="M3" t="n">
        <v>0</v>
      </c>
      <c r="N3">
        <f>SUM(J3:M3)</f>
        <v/>
      </c>
      <c r="O3" s="4">
        <f>SUM(J3:L3)/SUM(J3:M3)</f>
        <v/>
      </c>
      <c r="P3" s="5">
        <f>MAX(J3:L3)/SUM(J3:L3)</f>
        <v/>
      </c>
    </row>
    <row r="4">
      <c r="A4" t="inlineStr">
        <is>
          <t>Primer año</t>
        </is>
      </c>
      <c r="B4" t="inlineStr">
        <is>
          <t>Primer periodo</t>
        </is>
      </c>
      <c r="C4" t="n">
        <v>2</v>
      </c>
      <c r="D4" t="n">
        <v>2</v>
      </c>
      <c r="E4" s="3" t="n">
        <v>45554</v>
      </c>
      <c r="F4" t="inlineStr">
        <is>
          <t>Punto de Acuerdo</t>
        </is>
      </c>
      <c r="G4" t="inlineStr">
        <is>
          <t>Acuerdo para la elección e integración de la Comisión de Procuración y Administración de Justicia</t>
        </is>
      </c>
      <c r="H4" t="n">
        <v>19</v>
      </c>
      <c r="I4" t="inlineStr">
        <is>
          <t>Internos del Congreso</t>
        </is>
      </c>
      <c r="J4" t="n">
        <v>41</v>
      </c>
      <c r="K4" t="n">
        <v>0</v>
      </c>
      <c r="L4" t="n">
        <v>0</v>
      </c>
      <c r="M4" t="n">
        <v>0</v>
      </c>
      <c r="N4">
        <f>SUM(J4:M4)</f>
        <v/>
      </c>
      <c r="O4" s="4">
        <f>SUM(J4:L4)/SUM(J4:M4)</f>
        <v/>
      </c>
      <c r="P4" s="5">
        <f>MAX(J4:L4)/SUM(J4:L4)</f>
        <v/>
      </c>
    </row>
    <row r="5">
      <c r="A5" t="inlineStr">
        <is>
          <t>Primer año</t>
        </is>
      </c>
      <c r="B5" t="inlineStr">
        <is>
          <t>Primer periodo</t>
        </is>
      </c>
      <c r="C5" t="n">
        <v>3</v>
      </c>
      <c r="D5" t="n">
        <v>3</v>
      </c>
      <c r="E5" s="3" t="n">
        <v>45554</v>
      </c>
      <c r="F5" t="inlineStr">
        <is>
          <t>Punto de Acuerdo</t>
        </is>
      </c>
      <c r="G5" t="inlineStr">
        <is>
          <t>Acuerdo para la elección e integración de la Comisión de Hacienda y Patrimonio Municipal</t>
        </is>
      </c>
      <c r="H5" t="n">
        <v>19</v>
      </c>
      <c r="I5" t="inlineStr">
        <is>
          <t>Internos del Congreso</t>
        </is>
      </c>
      <c r="J5" t="n">
        <v>41</v>
      </c>
      <c r="K5" t="n">
        <v>0</v>
      </c>
      <c r="L5" t="n">
        <v>0</v>
      </c>
      <c r="M5" t="n">
        <v>0</v>
      </c>
      <c r="N5">
        <f>SUM(J5:M5)</f>
        <v/>
      </c>
      <c r="O5" s="4">
        <f>SUM(J5:L5)/SUM(J5:M5)</f>
        <v/>
      </c>
      <c r="P5" s="5">
        <f>MAX(J5:L5)/SUM(J5:L5)</f>
        <v/>
      </c>
    </row>
    <row r="6">
      <c r="A6" t="inlineStr">
        <is>
          <t>Primer año</t>
        </is>
      </c>
      <c r="B6" t="inlineStr">
        <is>
          <t>Primer periodo</t>
        </is>
      </c>
      <c r="C6" t="n">
        <v>4</v>
      </c>
      <c r="D6" t="n">
        <v>4</v>
      </c>
      <c r="E6" s="3" t="n">
        <v>45554</v>
      </c>
      <c r="F6" t="inlineStr">
        <is>
          <t>Punto de Acuerdo</t>
        </is>
      </c>
      <c r="G6" t="inlineStr">
        <is>
          <t>Acuerdo para la elección e integración de la Comisión de Presupuesto y Crédito Público</t>
        </is>
      </c>
      <c r="H6" t="n">
        <v>19</v>
      </c>
      <c r="I6" t="inlineStr">
        <is>
          <t>Internos del Congreso</t>
        </is>
      </c>
      <c r="J6" t="n">
        <v>41</v>
      </c>
      <c r="K6" t="n">
        <v>0</v>
      </c>
      <c r="L6" t="n">
        <v>0</v>
      </c>
      <c r="M6" t="n">
        <v>0</v>
      </c>
      <c r="N6">
        <f>SUM(J6:M6)</f>
        <v/>
      </c>
      <c r="O6" s="4">
        <f>SUM(J6:L6)/SUM(J6:M6)</f>
        <v/>
      </c>
      <c r="P6" s="5">
        <f>MAX(J6:L6)/SUM(J6:L6)</f>
        <v/>
      </c>
    </row>
    <row r="7">
      <c r="A7" t="inlineStr">
        <is>
          <t>Primer año</t>
        </is>
      </c>
      <c r="B7" t="inlineStr">
        <is>
          <t>Primer periodo</t>
        </is>
      </c>
      <c r="C7" t="n">
        <v>5</v>
      </c>
      <c r="D7" t="n">
        <v>5</v>
      </c>
      <c r="E7" s="3" t="n">
        <v>45554</v>
      </c>
      <c r="F7" t="inlineStr">
        <is>
          <t>Punto de Acuerdo</t>
        </is>
      </c>
      <c r="G7" t="inlineStr">
        <is>
          <t>Acuerdo para la elección e integración de la Comisión de Desarrollo Rural</t>
        </is>
      </c>
      <c r="H7" t="n">
        <v>19</v>
      </c>
      <c r="I7" t="inlineStr">
        <is>
          <t>Internos del Congreso</t>
        </is>
      </c>
      <c r="J7" t="n">
        <v>41</v>
      </c>
      <c r="K7" t="n">
        <v>0</v>
      </c>
      <c r="L7" t="n">
        <v>0</v>
      </c>
      <c r="M7" t="n">
        <v>0</v>
      </c>
      <c r="N7">
        <f>SUM(J7:M7)</f>
        <v/>
      </c>
      <c r="O7" s="4">
        <f>SUM(J7:L7)/SUM(J7:M7)</f>
        <v/>
      </c>
      <c r="P7" s="5">
        <f>MAX(J7:L7)/SUM(J7:L7)</f>
        <v/>
      </c>
    </row>
    <row r="8">
      <c r="A8" t="inlineStr">
        <is>
          <t>Primer año</t>
        </is>
      </c>
      <c r="B8" t="inlineStr">
        <is>
          <t>Primer periodo</t>
        </is>
      </c>
      <c r="C8" t="n">
        <v>6</v>
      </c>
      <c r="D8" t="n">
        <v>6</v>
      </c>
      <c r="E8" s="3" t="n">
        <v>45554</v>
      </c>
      <c r="F8" t="inlineStr">
        <is>
          <t>Punto de Acuerdo</t>
        </is>
      </c>
      <c r="G8" t="inlineStr">
        <is>
          <t>Acuerdo para la elección e integración de la Comisión de Bienestar</t>
        </is>
      </c>
      <c r="H8" t="n">
        <v>19</v>
      </c>
      <c r="I8" t="inlineStr">
        <is>
          <t>Internos del Congreso</t>
        </is>
      </c>
      <c r="J8" t="n">
        <v>41</v>
      </c>
      <c r="K8" t="n">
        <v>0</v>
      </c>
      <c r="L8" t="n">
        <v>0</v>
      </c>
      <c r="M8" t="n">
        <v>0</v>
      </c>
      <c r="N8">
        <f>SUM(J8:M8)</f>
        <v/>
      </c>
      <c r="O8" s="4">
        <f>SUM(J8:L8)/SUM(J8:M8)</f>
        <v/>
      </c>
      <c r="P8" s="5">
        <f>MAX(J8:L8)/SUM(J8:L8)</f>
        <v/>
      </c>
    </row>
    <row r="9">
      <c r="A9" t="inlineStr">
        <is>
          <t>Primer año</t>
        </is>
      </c>
      <c r="B9" t="inlineStr">
        <is>
          <t>Primer periodo</t>
        </is>
      </c>
      <c r="C9" t="n">
        <v>7</v>
      </c>
      <c r="D9" t="n">
        <v>7</v>
      </c>
      <c r="E9" s="3" t="n">
        <v>45554</v>
      </c>
      <c r="F9" t="inlineStr">
        <is>
          <t>Punto de Acuerdo</t>
        </is>
      </c>
      <c r="G9" t="inlineStr">
        <is>
          <t>Acuerdo para la elección e integración de la Comisión de Comunicaciones e Infraestructura</t>
        </is>
      </c>
      <c r="H9" t="n">
        <v>19</v>
      </c>
      <c r="I9" t="inlineStr">
        <is>
          <t>Internos del Congreso</t>
        </is>
      </c>
      <c r="J9" t="n">
        <v>41</v>
      </c>
      <c r="K9" t="n">
        <v>0</v>
      </c>
      <c r="L9" t="n">
        <v>0</v>
      </c>
      <c r="M9" t="n">
        <v>0</v>
      </c>
      <c r="N9">
        <f>SUM(J9:M9)</f>
        <v/>
      </c>
      <c r="O9" s="4">
        <f>SUM(J9:L9)/SUM(J9:M9)</f>
        <v/>
      </c>
      <c r="P9" s="5">
        <f>MAX(J9:L9)/SUM(J9:L9)</f>
        <v/>
      </c>
    </row>
    <row r="10">
      <c r="A10" t="inlineStr">
        <is>
          <t>Primer año</t>
        </is>
      </c>
      <c r="B10" t="inlineStr">
        <is>
          <t>Primer periodo</t>
        </is>
      </c>
      <c r="C10" t="n">
        <v>8</v>
      </c>
      <c r="D10" t="n">
        <v>8</v>
      </c>
      <c r="E10" s="3" t="n">
        <v>45554</v>
      </c>
      <c r="F10" t="inlineStr">
        <is>
          <t>Punto de Acuerdo</t>
        </is>
      </c>
      <c r="G10" t="inlineStr">
        <is>
          <t>Acuerdo para la elección e integración de la Comisión de Transportes y Movilidad</t>
        </is>
      </c>
      <c r="H10" t="n">
        <v>19</v>
      </c>
      <c r="I10" t="inlineStr">
        <is>
          <t>Internos del Congreso</t>
        </is>
      </c>
      <c r="J10" t="n">
        <v>41</v>
      </c>
      <c r="K10" t="n">
        <v>0</v>
      </c>
      <c r="L10" t="n">
        <v>0</v>
      </c>
      <c r="M10" t="n">
        <v>0</v>
      </c>
      <c r="N10">
        <f>SUM(J10:M10)</f>
        <v/>
      </c>
      <c r="O10" s="4">
        <f>SUM(J10:L10)/SUM(J10:M10)</f>
        <v/>
      </c>
      <c r="P10" s="5">
        <f>MAX(J10:L10)/SUM(J10:L10)</f>
        <v/>
      </c>
    </row>
    <row r="11">
      <c r="A11" t="inlineStr">
        <is>
          <t>Primer año</t>
        </is>
      </c>
      <c r="B11" t="inlineStr">
        <is>
          <t>Primer periodo</t>
        </is>
      </c>
      <c r="C11" t="n">
        <v>9</v>
      </c>
      <c r="D11" t="n">
        <v>9</v>
      </c>
      <c r="E11" s="3" t="n">
        <v>45554</v>
      </c>
      <c r="F11" t="inlineStr">
        <is>
          <t>Punto de Acuerdo</t>
        </is>
      </c>
      <c r="G11" t="inlineStr">
        <is>
          <t>Acuerdo para la elección e integración de la Comisión de Salud</t>
        </is>
      </c>
      <c r="H11" t="n">
        <v>19</v>
      </c>
      <c r="I11" t="inlineStr">
        <is>
          <t>Internos del Congreso</t>
        </is>
      </c>
      <c r="J11" t="n">
        <v>41</v>
      </c>
      <c r="K11" t="n">
        <v>0</v>
      </c>
      <c r="L11" t="n">
        <v>0</v>
      </c>
      <c r="M11" t="n">
        <v>0</v>
      </c>
      <c r="N11">
        <f>SUM(J11:M11)</f>
        <v/>
      </c>
      <c r="O11" s="4">
        <f>SUM(J11:L11)/SUM(J11:M11)</f>
        <v/>
      </c>
      <c r="P11" s="5">
        <f>MAX(J11:L11)/SUM(J11:L11)</f>
        <v/>
      </c>
    </row>
    <row r="12">
      <c r="A12" t="inlineStr">
        <is>
          <t>Primer año</t>
        </is>
      </c>
      <c r="B12" t="inlineStr">
        <is>
          <t>Primer periodo</t>
        </is>
      </c>
      <c r="C12" t="n">
        <v>10</v>
      </c>
      <c r="D12" t="n">
        <v>10</v>
      </c>
      <c r="E12" s="3" t="n">
        <v>45554</v>
      </c>
      <c r="F12" t="inlineStr">
        <is>
          <t>Punto de Acuerdo</t>
        </is>
      </c>
      <c r="G12" t="inlineStr">
        <is>
          <t>Acuerdo para la elección e integración de la Comisión de Educación</t>
        </is>
      </c>
      <c r="H12" t="n">
        <v>19</v>
      </c>
      <c r="I12" t="inlineStr">
        <is>
          <t>Internos del Congreso</t>
        </is>
      </c>
      <c r="J12" t="n">
        <v>41</v>
      </c>
      <c r="K12" t="n">
        <v>0</v>
      </c>
      <c r="L12" t="n">
        <v>0</v>
      </c>
      <c r="M12" t="n">
        <v>0</v>
      </c>
      <c r="N12">
        <f>SUM(J12:M12)</f>
        <v/>
      </c>
      <c r="O12" s="4">
        <f>SUM(J12:L12)/SUM(J12:M12)</f>
        <v/>
      </c>
      <c r="P12" s="5">
        <f>MAX(J12:L12)/SUM(J12:L12)</f>
        <v/>
      </c>
    </row>
    <row r="13">
      <c r="A13" t="inlineStr">
        <is>
          <t>Primer año</t>
        </is>
      </c>
      <c r="B13" t="inlineStr">
        <is>
          <t>Primer periodo</t>
        </is>
      </c>
      <c r="C13" t="n">
        <v>11</v>
      </c>
      <c r="D13" t="n">
        <v>11</v>
      </c>
      <c r="E13" s="3" t="n">
        <v>45554</v>
      </c>
      <c r="F13" t="inlineStr">
        <is>
          <t>Punto de Acuerdo</t>
        </is>
      </c>
      <c r="G13" t="inlineStr">
        <is>
          <t>Acuerdo para la elección e integración de la Comisión de Trabajo, Competitividad y Previsión Social</t>
        </is>
      </c>
      <c r="H13" t="n">
        <v>19</v>
      </c>
      <c r="I13" t="inlineStr">
        <is>
          <t>Internos del Congreso</t>
        </is>
      </c>
      <c r="J13" t="n">
        <v>41</v>
      </c>
      <c r="K13" t="n">
        <v>0</v>
      </c>
      <c r="L13" t="n">
        <v>0</v>
      </c>
      <c r="M13" t="n">
        <v>0</v>
      </c>
      <c r="N13">
        <f>SUM(J13:M13)</f>
        <v/>
      </c>
      <c r="O13" s="4">
        <f>SUM(J13:L13)/SUM(J13:M13)</f>
        <v/>
      </c>
      <c r="P13" s="5">
        <f>MAX(J13:L13)/SUM(J13:L13)</f>
        <v/>
      </c>
    </row>
    <row r="14">
      <c r="A14" t="inlineStr">
        <is>
          <t>Primer año</t>
        </is>
      </c>
      <c r="B14" t="inlineStr">
        <is>
          <t>Primer periodo</t>
        </is>
      </c>
      <c r="C14" t="n">
        <v>12</v>
      </c>
      <c r="D14" t="n">
        <v>12</v>
      </c>
      <c r="E14" s="3" t="n">
        <v>45554</v>
      </c>
      <c r="F14" t="inlineStr">
        <is>
          <t>Punto de Acuerdo</t>
        </is>
      </c>
      <c r="G14" t="inlineStr">
        <is>
          <t>Acuerdo para la elección e integración de la Comisión de Derechos Humanos</t>
        </is>
      </c>
      <c r="H14" t="n">
        <v>19</v>
      </c>
      <c r="I14" t="inlineStr">
        <is>
          <t>Internos del Congreso</t>
        </is>
      </c>
      <c r="J14" t="n">
        <v>41</v>
      </c>
      <c r="K14" t="n">
        <v>0</v>
      </c>
      <c r="L14" t="n">
        <v>0</v>
      </c>
      <c r="M14" t="n">
        <v>0</v>
      </c>
      <c r="N14">
        <f>SUM(J14:M14)</f>
        <v/>
      </c>
      <c r="O14" s="4">
        <f>SUM(J14:L14)/SUM(J14:M14)</f>
        <v/>
      </c>
      <c r="P14" s="5">
        <f>MAX(J14:L14)/SUM(J14:L14)</f>
        <v/>
      </c>
    </row>
    <row r="15">
      <c r="A15" t="inlineStr">
        <is>
          <t>Primer año</t>
        </is>
      </c>
      <c r="B15" t="inlineStr">
        <is>
          <t>Primer periodo</t>
        </is>
      </c>
      <c r="C15" t="n">
        <v>13</v>
      </c>
      <c r="D15" t="n">
        <v>13</v>
      </c>
      <c r="E15" s="3" t="n">
        <v>45554</v>
      </c>
      <c r="F15" t="inlineStr">
        <is>
          <t>Punto de Acuerdo</t>
        </is>
      </c>
      <c r="G15" t="inlineStr">
        <is>
          <t>Acuerdo para la elección e integración de la Comisión de Igualdad de Género</t>
        </is>
      </c>
      <c r="H15" t="n">
        <v>19</v>
      </c>
      <c r="I15" t="inlineStr">
        <is>
          <t>Internos del Congreso</t>
        </is>
      </c>
      <c r="J15" t="n">
        <v>41</v>
      </c>
      <c r="K15" t="n">
        <v>0</v>
      </c>
      <c r="L15" t="n">
        <v>0</v>
      </c>
      <c r="M15" t="n">
        <v>0</v>
      </c>
      <c r="N15">
        <f>SUM(J15:M15)</f>
        <v/>
      </c>
      <c r="O15" s="4">
        <f>SUM(J15:L15)/SUM(J15:M15)</f>
        <v/>
      </c>
      <c r="P15" s="5">
        <f>MAX(J15:L15)/SUM(J15:L15)</f>
        <v/>
      </c>
    </row>
    <row r="16">
      <c r="A16" t="inlineStr">
        <is>
          <t>Primer año</t>
        </is>
      </c>
      <c r="B16" t="inlineStr">
        <is>
          <t>Primer periodo</t>
        </is>
      </c>
      <c r="C16" t="n">
        <v>14</v>
      </c>
      <c r="D16" t="n">
        <v>14</v>
      </c>
      <c r="E16" s="3" t="n">
        <v>45554</v>
      </c>
      <c r="F16" t="inlineStr">
        <is>
          <t>Punto de Acuerdo</t>
        </is>
      </c>
      <c r="G16" t="inlineStr">
        <is>
          <t>Acuerdo para la elección e integración de la Comisión de Pueblos, Comunidades Indígenas y Afromexicanas</t>
        </is>
      </c>
      <c r="H16" t="n">
        <v>19</v>
      </c>
      <c r="I16" t="inlineStr">
        <is>
          <t>Internos del Congreso</t>
        </is>
      </c>
      <c r="J16" t="n">
        <v>41</v>
      </c>
      <c r="K16" t="n">
        <v>0</v>
      </c>
      <c r="L16" t="n">
        <v>0</v>
      </c>
      <c r="M16" t="n">
        <v>0</v>
      </c>
      <c r="N16">
        <f>SUM(J16:M16)</f>
        <v/>
      </c>
      <c r="O16" s="4">
        <f>SUM(J16:L16)/SUM(J16:M16)</f>
        <v/>
      </c>
      <c r="P16" s="5">
        <f>MAX(J16:L16)/SUM(J16:L16)</f>
        <v/>
      </c>
    </row>
    <row r="17">
      <c r="A17" t="inlineStr">
        <is>
          <t>Primer año</t>
        </is>
      </c>
      <c r="B17" t="inlineStr">
        <is>
          <t>Primer periodo</t>
        </is>
      </c>
      <c r="C17" t="n">
        <v>15</v>
      </c>
      <c r="D17" t="n">
        <v>15</v>
      </c>
      <c r="E17" s="3" t="n">
        <v>45554</v>
      </c>
      <c r="F17" t="inlineStr">
        <is>
          <t>Punto de Acuerdo</t>
        </is>
      </c>
      <c r="G17" t="inlineStr">
        <is>
          <t>Acuerdo para la elección e integración de la Comisión de Control, Vigilancia y Evaluación de la Auditoría Superior del Estado</t>
        </is>
      </c>
      <c r="H17" t="n">
        <v>19</v>
      </c>
      <c r="I17" t="inlineStr">
        <is>
          <t>Internos del Congreso</t>
        </is>
      </c>
      <c r="J17" t="n">
        <v>41</v>
      </c>
      <c r="K17" t="n">
        <v>0</v>
      </c>
      <c r="L17" t="n">
        <v>0</v>
      </c>
      <c r="M17" t="n">
        <v>0</v>
      </c>
      <c r="N17">
        <f>SUM(J17:M17)</f>
        <v/>
      </c>
      <c r="O17" s="4">
        <f>SUM(J17:L17)/SUM(J17:M17)</f>
        <v/>
      </c>
      <c r="P17" s="5">
        <f>MAX(J17:L17)/SUM(J17:L17)</f>
        <v/>
      </c>
    </row>
    <row r="18">
      <c r="A18" t="inlineStr">
        <is>
          <t>Primer año</t>
        </is>
      </c>
      <c r="B18" t="inlineStr">
        <is>
          <t>Primer periodo</t>
        </is>
      </c>
      <c r="C18" t="n">
        <v>16</v>
      </c>
      <c r="D18" t="n">
        <v>16</v>
      </c>
      <c r="E18" s="3" t="n">
        <v>45554</v>
      </c>
      <c r="F18" t="inlineStr">
        <is>
          <t>Punto de Acuerdo</t>
        </is>
      </c>
      <c r="G18" t="inlineStr">
        <is>
          <t>Acuerdo para la elección e integración de la Comisión de Seguridad Pública</t>
        </is>
      </c>
      <c r="H18" t="n">
        <v>19</v>
      </c>
      <c r="I18" t="inlineStr">
        <is>
          <t>Internos del Congreso</t>
        </is>
      </c>
      <c r="J18" t="n">
        <v>41</v>
      </c>
      <c r="K18" t="n">
        <v>0</v>
      </c>
      <c r="L18" t="n">
        <v>0</v>
      </c>
      <c r="M18" t="n">
        <v>0</v>
      </c>
      <c r="N18">
        <f>SUM(J18:M18)</f>
        <v/>
      </c>
      <c r="O18" s="4">
        <f>SUM(J18:L18)/SUM(J18:M18)</f>
        <v/>
      </c>
      <c r="P18" s="5">
        <f>MAX(J18:L18)/SUM(J18:L18)</f>
        <v/>
      </c>
    </row>
    <row r="19">
      <c r="A19" t="inlineStr">
        <is>
          <t>Primer año</t>
        </is>
      </c>
      <c r="B19" t="inlineStr">
        <is>
          <t>Primer periodo</t>
        </is>
      </c>
      <c r="C19" t="n">
        <v>17</v>
      </c>
      <c r="D19" t="n">
        <v>17</v>
      </c>
      <c r="E19" s="3" t="n">
        <v>45554</v>
      </c>
      <c r="F19" t="inlineStr">
        <is>
          <t>Punto de Acuerdo</t>
        </is>
      </c>
      <c r="G19" t="inlineStr">
        <is>
          <t>Acuerdo para la elección e integración de la Comisión de Protección Civil</t>
        </is>
      </c>
      <c r="H19" t="n">
        <v>19</v>
      </c>
      <c r="I19" t="inlineStr">
        <is>
          <t>Internos del Congreso</t>
        </is>
      </c>
      <c r="J19" t="n">
        <v>41</v>
      </c>
      <c r="K19" t="n">
        <v>0</v>
      </c>
      <c r="L19" t="n">
        <v>0</v>
      </c>
      <c r="M19" t="n">
        <v>0</v>
      </c>
      <c r="N19">
        <f>SUM(J19:M19)</f>
        <v/>
      </c>
      <c r="O19" s="4">
        <f>SUM(J19:L19)/SUM(J19:M19)</f>
        <v/>
      </c>
      <c r="P19" s="5">
        <f>MAX(J19:L19)/SUM(J19:L19)</f>
        <v/>
      </c>
    </row>
    <row r="20">
      <c r="A20" t="inlineStr">
        <is>
          <t>Primer año</t>
        </is>
      </c>
      <c r="B20" t="inlineStr">
        <is>
          <t>Primer periodo</t>
        </is>
      </c>
      <c r="C20" t="n">
        <v>18</v>
      </c>
      <c r="D20" t="n">
        <v>18</v>
      </c>
      <c r="E20" s="3" t="n">
        <v>45554</v>
      </c>
      <c r="F20" t="inlineStr">
        <is>
          <t>Punto de Acuerdo</t>
        </is>
      </c>
      <c r="G20" t="inlineStr">
        <is>
          <t>Acuerdo para la elección e integración de la Comisión de Desarrollo Económico</t>
        </is>
      </c>
      <c r="H20" t="n">
        <v>19</v>
      </c>
      <c r="I20" t="inlineStr">
        <is>
          <t>Internos del Congreso</t>
        </is>
      </c>
      <c r="J20" t="n">
        <v>41</v>
      </c>
      <c r="K20" t="n">
        <v>0</v>
      </c>
      <c r="L20" t="n">
        <v>0</v>
      </c>
      <c r="M20" t="n">
        <v>0</v>
      </c>
      <c r="N20">
        <f>SUM(J20:M20)</f>
        <v/>
      </c>
      <c r="O20" s="4">
        <f>SUM(J20:L20)/SUM(J20:M20)</f>
        <v/>
      </c>
      <c r="P20" s="5">
        <f>MAX(J20:L20)/SUM(J20:L20)</f>
        <v/>
      </c>
    </row>
    <row r="21">
      <c r="A21" t="inlineStr">
        <is>
          <t>Primer año</t>
        </is>
      </c>
      <c r="B21" t="inlineStr">
        <is>
          <t>Primer periodo</t>
        </is>
      </c>
      <c r="C21" t="n">
        <v>19</v>
      </c>
      <c r="D21" t="n">
        <v>19</v>
      </c>
      <c r="E21" s="3" t="n">
        <v>45554</v>
      </c>
      <c r="F21" t="inlineStr">
        <is>
          <t>Punto de Acuerdo</t>
        </is>
      </c>
      <c r="G21" t="inlineStr">
        <is>
          <t>Acuerdo para la elección e integración de la Comisión de Medio Ambiente, Recursos Naturales y Cambio Climático</t>
        </is>
      </c>
      <c r="H21" t="n">
        <v>19</v>
      </c>
      <c r="I21" t="inlineStr">
        <is>
          <t>Internos del Congreso</t>
        </is>
      </c>
      <c r="J21" t="n">
        <v>41</v>
      </c>
      <c r="K21" t="n">
        <v>0</v>
      </c>
      <c r="L21" t="n">
        <v>0</v>
      </c>
      <c r="M21" t="n">
        <v>0</v>
      </c>
      <c r="N21">
        <f>SUM(J21:M21)</f>
        <v/>
      </c>
      <c r="O21" s="4">
        <f>SUM(J21:L21)/SUM(J21:M21)</f>
        <v/>
      </c>
      <c r="P21" s="5">
        <f>MAX(J21:L21)/SUM(J21:L21)</f>
        <v/>
      </c>
    </row>
    <row r="22">
      <c r="A22" t="inlineStr">
        <is>
          <t>Primer año</t>
        </is>
      </c>
      <c r="B22" t="inlineStr">
        <is>
          <t>Primer periodo</t>
        </is>
      </c>
      <c r="C22" t="n">
        <v>20</v>
      </c>
      <c r="D22" t="n">
        <v>20</v>
      </c>
      <c r="E22" s="3" t="n">
        <v>45554</v>
      </c>
      <c r="F22" t="inlineStr">
        <is>
          <t>Punto de Acuerdo</t>
        </is>
      </c>
      <c r="G22" t="inlineStr">
        <is>
          <t>Acuerdo para la elección e integración de la Comisión de Migración y Asuntos Internacionales</t>
        </is>
      </c>
      <c r="H22" t="n">
        <v>19</v>
      </c>
      <c r="I22" t="inlineStr">
        <is>
          <t>Internos del Congreso</t>
        </is>
      </c>
      <c r="J22" t="n">
        <v>41</v>
      </c>
      <c r="K22" t="n">
        <v>0</v>
      </c>
      <c r="L22" t="n">
        <v>0</v>
      </c>
      <c r="M22" t="n">
        <v>0</v>
      </c>
      <c r="N22">
        <f>SUM(J22:M22)</f>
        <v/>
      </c>
      <c r="O22" s="4">
        <f>SUM(J22:L22)/SUM(J22:M22)</f>
        <v/>
      </c>
      <c r="P22" s="5">
        <f>MAX(J22:L22)/SUM(J22:L22)</f>
        <v/>
      </c>
    </row>
    <row r="23">
      <c r="A23" t="inlineStr">
        <is>
          <t>Primer año</t>
        </is>
      </c>
      <c r="B23" t="inlineStr">
        <is>
          <t>Primer periodo</t>
        </is>
      </c>
      <c r="C23" t="n">
        <v>21</v>
      </c>
      <c r="D23" t="n">
        <v>21</v>
      </c>
      <c r="E23" s="3" t="n">
        <v>45554</v>
      </c>
      <c r="F23" t="inlineStr">
        <is>
          <t>Punto de Acuerdo</t>
        </is>
      </c>
      <c r="G23" t="inlineStr">
        <is>
          <t>Acuerdo para la elección e integración de la Comisión de Asuntos Municipales</t>
        </is>
      </c>
      <c r="H23" t="n">
        <v>19</v>
      </c>
      <c r="I23" t="inlineStr">
        <is>
          <t>Internos del Congreso</t>
        </is>
      </c>
      <c r="J23" t="n">
        <v>41</v>
      </c>
      <c r="K23" t="n">
        <v>0</v>
      </c>
      <c r="L23" t="n">
        <v>0</v>
      </c>
      <c r="M23" t="n">
        <v>0</v>
      </c>
      <c r="N23">
        <f>SUM(J23:M23)</f>
        <v/>
      </c>
      <c r="O23" s="4">
        <f>SUM(J23:L23)/SUM(J23:M23)</f>
        <v/>
      </c>
      <c r="P23" s="5">
        <f>MAX(J23:L23)/SUM(J23:L23)</f>
        <v/>
      </c>
    </row>
    <row r="24">
      <c r="A24" t="inlineStr">
        <is>
          <t>Primer año</t>
        </is>
      </c>
      <c r="B24" t="inlineStr">
        <is>
          <t>Primer periodo</t>
        </is>
      </c>
      <c r="C24" t="n">
        <v>22</v>
      </c>
      <c r="D24" t="n">
        <v>22</v>
      </c>
      <c r="E24" s="3" t="n">
        <v>45554</v>
      </c>
      <c r="F24" t="inlineStr">
        <is>
          <t>Punto de Acuerdo</t>
        </is>
      </c>
      <c r="G24" t="inlineStr">
        <is>
          <t>Acuerdo para la elección e integración de la Comisión de Ciencia y Tecnología</t>
        </is>
      </c>
      <c r="H24" t="n">
        <v>19</v>
      </c>
      <c r="I24" t="inlineStr">
        <is>
          <t>Internos del Congreso</t>
        </is>
      </c>
      <c r="J24" t="n">
        <v>41</v>
      </c>
      <c r="K24" t="n">
        <v>0</v>
      </c>
      <c r="L24" t="n">
        <v>0</v>
      </c>
      <c r="M24" t="n">
        <v>0</v>
      </c>
      <c r="N24">
        <f>SUM(J24:M24)</f>
        <v/>
      </c>
      <c r="O24" s="4">
        <f>SUM(J24:L24)/SUM(J24:M24)</f>
        <v/>
      </c>
      <c r="P24" s="5">
        <f>MAX(J24:L24)/SUM(J24:L24)</f>
        <v/>
      </c>
    </row>
    <row r="25">
      <c r="A25" t="inlineStr">
        <is>
          <t>Primer año</t>
        </is>
      </c>
      <c r="B25" t="inlineStr">
        <is>
          <t>Primer periodo</t>
        </is>
      </c>
      <c r="C25" t="n">
        <v>23</v>
      </c>
      <c r="D25" t="n">
        <v>23</v>
      </c>
      <c r="E25" s="3" t="n">
        <v>45554</v>
      </c>
      <c r="F25" t="inlineStr">
        <is>
          <t>Punto de Acuerdo</t>
        </is>
      </c>
      <c r="G25" t="inlineStr">
        <is>
          <t>Acuerdo para la elección e integración de la Comisión de Juventud y Deporte</t>
        </is>
      </c>
      <c r="H25" t="n">
        <v>19</v>
      </c>
      <c r="I25" t="inlineStr">
        <is>
          <t>Internos del Congreso</t>
        </is>
      </c>
      <c r="J25" t="n">
        <v>41</v>
      </c>
      <c r="K25" t="n">
        <v>0</v>
      </c>
      <c r="L25" t="n">
        <v>0</v>
      </c>
      <c r="M25" t="n">
        <v>0</v>
      </c>
      <c r="N25">
        <f>SUM(J25:M25)</f>
        <v/>
      </c>
      <c r="O25" s="4">
        <f>SUM(J25:L25)/SUM(J25:M25)</f>
        <v/>
      </c>
      <c r="P25" s="5">
        <f>MAX(J25:L25)/SUM(J25:L25)</f>
        <v/>
      </c>
    </row>
    <row r="26">
      <c r="A26" t="inlineStr">
        <is>
          <t>Primer año</t>
        </is>
      </c>
      <c r="B26" t="inlineStr">
        <is>
          <t>Primer periodo</t>
        </is>
      </c>
      <c r="C26" t="n">
        <v>24</v>
      </c>
      <c r="D26" t="n">
        <v>24</v>
      </c>
      <c r="E26" s="3" t="n">
        <v>45554</v>
      </c>
      <c r="F26" t="inlineStr">
        <is>
          <t>Punto de Acuerdo</t>
        </is>
      </c>
      <c r="G26" t="inlineStr">
        <is>
          <t>Acuerdo para la elección e integración de la Comisión de Atención a Personas con Discapacidad</t>
        </is>
      </c>
      <c r="H26" t="n">
        <v>19</v>
      </c>
      <c r="I26" t="inlineStr">
        <is>
          <t>Internos del Congreso</t>
        </is>
      </c>
      <c r="J26" t="n">
        <v>41</v>
      </c>
      <c r="K26" t="n">
        <v>0</v>
      </c>
      <c r="L26" t="n">
        <v>0</v>
      </c>
      <c r="M26" t="n">
        <v>0</v>
      </c>
      <c r="N26">
        <f>SUM(J26:M26)</f>
        <v/>
      </c>
      <c r="O26" s="4">
        <f>SUM(J26:L26)/SUM(J26:M26)</f>
        <v/>
      </c>
      <c r="P26" s="5">
        <f>MAX(J26:L26)/SUM(J26:L26)</f>
        <v/>
      </c>
    </row>
    <row r="27">
      <c r="A27" t="inlineStr">
        <is>
          <t>Primer año</t>
        </is>
      </c>
      <c r="B27" t="inlineStr">
        <is>
          <t>Primer periodo</t>
        </is>
      </c>
      <c r="C27" t="n">
        <v>25</v>
      </c>
      <c r="D27" t="n">
        <v>25</v>
      </c>
      <c r="E27" s="3" t="n">
        <v>45554</v>
      </c>
      <c r="F27" t="inlineStr">
        <is>
          <t>Punto de Acuerdo</t>
        </is>
      </c>
      <c r="G27" t="inlineStr">
        <is>
          <t>Acuerdo para la elección e integración de la Comisión Instructora</t>
        </is>
      </c>
      <c r="H27" t="n">
        <v>19</v>
      </c>
      <c r="I27" t="inlineStr">
        <is>
          <t>Internos del Congreso</t>
        </is>
      </c>
      <c r="J27" t="n">
        <v>41</v>
      </c>
      <c r="K27" t="n">
        <v>0</v>
      </c>
      <c r="L27" t="n">
        <v>0</v>
      </c>
      <c r="M27" t="n">
        <v>0</v>
      </c>
      <c r="N27">
        <f>SUM(J27:M27)</f>
        <v/>
      </c>
      <c r="O27" s="4">
        <f>SUM(J27:L27)/SUM(J27:M27)</f>
        <v/>
      </c>
      <c r="P27" s="5">
        <f>MAX(J27:L27)/SUM(J27:L27)</f>
        <v/>
      </c>
    </row>
    <row r="28">
      <c r="A28" t="inlineStr">
        <is>
          <t>Primer año</t>
        </is>
      </c>
      <c r="B28" t="inlineStr">
        <is>
          <t>Primer periodo</t>
        </is>
      </c>
      <c r="C28" t="n">
        <v>26</v>
      </c>
      <c r="D28" t="n">
        <v>26</v>
      </c>
      <c r="E28" s="3" t="n">
        <v>45554</v>
      </c>
      <c r="F28" t="inlineStr">
        <is>
          <t>Punto de Acuerdo</t>
        </is>
      </c>
      <c r="G28" t="inlineStr">
        <is>
          <t>Acuerdo para la elección e integración de la Comisión de Transparencia y Acceso a la Información</t>
        </is>
      </c>
      <c r="H28" t="n">
        <v>19</v>
      </c>
      <c r="I28" t="inlineStr">
        <is>
          <t>Internos del Congreso</t>
        </is>
      </c>
      <c r="J28" t="n">
        <v>41</v>
      </c>
      <c r="K28" t="n">
        <v>0</v>
      </c>
      <c r="L28" t="n">
        <v>0</v>
      </c>
      <c r="M28" t="n">
        <v>0</v>
      </c>
      <c r="N28">
        <f>SUM(J28:M28)</f>
        <v/>
      </c>
      <c r="O28" s="4">
        <f>SUM(J28:L28)/SUM(J28:M28)</f>
        <v/>
      </c>
      <c r="P28" s="5">
        <f>MAX(J28:L28)/SUM(J28:L28)</f>
        <v/>
      </c>
    </row>
    <row r="29">
      <c r="A29" t="inlineStr">
        <is>
          <t>Primer año</t>
        </is>
      </c>
      <c r="B29" t="inlineStr">
        <is>
          <t>Primer periodo</t>
        </is>
      </c>
      <c r="C29" t="n">
        <v>27</v>
      </c>
      <c r="D29" t="n">
        <v>27</v>
      </c>
      <c r="E29" s="3" t="n">
        <v>45554</v>
      </c>
      <c r="F29" t="inlineStr">
        <is>
          <t>Punto de Acuerdo</t>
        </is>
      </c>
      <c r="G29" t="inlineStr">
        <is>
          <t>Acuerdo para la elección e integración de la Comisión de Turismo</t>
        </is>
      </c>
      <c r="H29" t="n">
        <v>19</v>
      </c>
      <c r="I29" t="inlineStr">
        <is>
          <t>Internos del Congreso</t>
        </is>
      </c>
      <c r="J29" t="n">
        <v>41</v>
      </c>
      <c r="K29" t="n">
        <v>0</v>
      </c>
      <c r="L29" t="n">
        <v>0</v>
      </c>
      <c r="M29" t="n">
        <v>0</v>
      </c>
      <c r="N29">
        <f>SUM(J29:M29)</f>
        <v/>
      </c>
      <c r="O29" s="4">
        <f>SUM(J29:L29)/SUM(J29:M29)</f>
        <v/>
      </c>
      <c r="P29" s="5">
        <f>MAX(J29:L29)/SUM(J29:L29)</f>
        <v/>
      </c>
    </row>
    <row r="30">
      <c r="A30" t="inlineStr">
        <is>
          <t>Primer año</t>
        </is>
      </c>
      <c r="B30" t="inlineStr">
        <is>
          <t>Primer periodo</t>
        </is>
      </c>
      <c r="C30" t="n">
        <v>28</v>
      </c>
      <c r="D30" t="n">
        <v>28</v>
      </c>
      <c r="E30" s="3" t="n">
        <v>45554</v>
      </c>
      <c r="F30" t="inlineStr">
        <is>
          <t>Punto de Acuerdo</t>
        </is>
      </c>
      <c r="G30" t="inlineStr">
        <is>
          <t>Acuerdo para la elección e integración de la Comisión de Desarrollo Urbano</t>
        </is>
      </c>
      <c r="H30" t="n">
        <v>19</v>
      </c>
      <c r="I30" t="inlineStr">
        <is>
          <t>Internos del Congreso</t>
        </is>
      </c>
      <c r="J30" t="n">
        <v>41</v>
      </c>
      <c r="K30" t="n">
        <v>0</v>
      </c>
      <c r="L30" t="n">
        <v>0</v>
      </c>
      <c r="M30" t="n">
        <v>0</v>
      </c>
      <c r="N30">
        <f>SUM(J30:M30)</f>
        <v/>
      </c>
      <c r="O30" s="4">
        <f>SUM(J30:L30)/SUM(J30:M30)</f>
        <v/>
      </c>
      <c r="P30" s="5">
        <f>MAX(J30:L30)/SUM(J30:L30)</f>
        <v/>
      </c>
    </row>
    <row r="31">
      <c r="A31" t="inlineStr">
        <is>
          <t>Primer año</t>
        </is>
      </c>
      <c r="B31" t="inlineStr">
        <is>
          <t>Primer periodo</t>
        </is>
      </c>
      <c r="C31" t="n">
        <v>29</v>
      </c>
      <c r="D31" t="n">
        <v>29</v>
      </c>
      <c r="E31" s="3" t="n">
        <v>45554</v>
      </c>
      <c r="F31" t="inlineStr">
        <is>
          <t>Punto de Acuerdo</t>
        </is>
      </c>
      <c r="G31" t="inlineStr">
        <is>
          <t>Acuerdo para la elección e integración de la Comisión de Vivienda</t>
        </is>
      </c>
      <c r="H31" t="n">
        <v>19</v>
      </c>
      <c r="I31" t="inlineStr">
        <is>
          <t>Internos del Congreso</t>
        </is>
      </c>
      <c r="J31" t="n">
        <v>41</v>
      </c>
      <c r="K31" t="n">
        <v>0</v>
      </c>
      <c r="L31" t="n">
        <v>0</v>
      </c>
      <c r="M31" t="n">
        <v>0</v>
      </c>
      <c r="N31">
        <f>SUM(J31:M31)</f>
        <v/>
      </c>
      <c r="O31" s="4">
        <f>SUM(J31:L31)/SUM(J31:M31)</f>
        <v/>
      </c>
      <c r="P31" s="5">
        <f>MAX(J31:L31)/SUM(J31:L31)</f>
        <v/>
      </c>
    </row>
    <row r="32">
      <c r="A32" t="inlineStr">
        <is>
          <t>Primer año</t>
        </is>
      </c>
      <c r="B32" t="inlineStr">
        <is>
          <t>Primer periodo</t>
        </is>
      </c>
      <c r="C32" t="n">
        <v>30</v>
      </c>
      <c r="D32" t="n">
        <v>30</v>
      </c>
      <c r="E32" s="3" t="n">
        <v>45554</v>
      </c>
      <c r="F32" t="inlineStr">
        <is>
          <t>Punto de Acuerdo</t>
        </is>
      </c>
      <c r="G32" t="inlineStr">
        <is>
          <t>Acuerdo para la elección e integración de la Comisión de Asuntos Metropolitanos</t>
        </is>
      </c>
      <c r="H32" t="n">
        <v>19</v>
      </c>
      <c r="I32" t="inlineStr">
        <is>
          <t>Internos del Congreso</t>
        </is>
      </c>
      <c r="J32" t="n">
        <v>41</v>
      </c>
      <c r="K32" t="n">
        <v>0</v>
      </c>
      <c r="L32" t="n">
        <v>0</v>
      </c>
      <c r="M32" t="n">
        <v>0</v>
      </c>
      <c r="N32">
        <f>SUM(J32:M32)</f>
        <v/>
      </c>
      <c r="O32" s="4">
        <f>SUM(J32:L32)/SUM(J32:M32)</f>
        <v/>
      </c>
      <c r="P32" s="5">
        <f>MAX(J32:L32)/SUM(J32:L32)</f>
        <v/>
      </c>
    </row>
    <row r="33">
      <c r="A33" t="inlineStr">
        <is>
          <t>Primer año</t>
        </is>
      </c>
      <c r="B33" t="inlineStr">
        <is>
          <t>Primer periodo</t>
        </is>
      </c>
      <c r="C33" t="n">
        <v>31</v>
      </c>
      <c r="D33" t="n">
        <v>31</v>
      </c>
      <c r="E33" s="3" t="n">
        <v>45554</v>
      </c>
      <c r="F33" t="inlineStr">
        <is>
          <t>Punto de Acuerdo</t>
        </is>
      </c>
      <c r="G33" t="inlineStr">
        <is>
          <t>Acuerdo para la elección e integración de la Comisión de Grupos Vulnerables</t>
        </is>
      </c>
      <c r="H33" t="n">
        <v>19</v>
      </c>
      <c r="I33" t="inlineStr">
        <is>
          <t>Internos del Congreso</t>
        </is>
      </c>
      <c r="J33" t="n">
        <v>41</v>
      </c>
      <c r="K33" t="n">
        <v>0</v>
      </c>
      <c r="L33" t="n">
        <v>0</v>
      </c>
      <c r="M33" t="n">
        <v>0</v>
      </c>
      <c r="N33">
        <f>SUM(J33:M33)</f>
        <v/>
      </c>
      <c r="O33" s="4">
        <f>SUM(J33:L33)/SUM(J33:M33)</f>
        <v/>
      </c>
      <c r="P33" s="5">
        <f>MAX(J33:L33)/SUM(J33:L33)</f>
        <v/>
      </c>
    </row>
    <row r="34">
      <c r="A34" t="inlineStr">
        <is>
          <t>Primer año</t>
        </is>
      </c>
      <c r="B34" t="inlineStr">
        <is>
          <t>Primer periodo</t>
        </is>
      </c>
      <c r="C34" t="n">
        <v>32</v>
      </c>
      <c r="D34" t="n">
        <v>32</v>
      </c>
      <c r="E34" s="3" t="n">
        <v>45554</v>
      </c>
      <c r="F34" t="inlineStr">
        <is>
          <t>Punto de Acuerdo</t>
        </is>
      </c>
      <c r="G34" t="inlineStr">
        <is>
          <t>Acuerdo para la elección e integración de la Comisión de Organizaciones No Gubernamentales</t>
        </is>
      </c>
      <c r="H34" t="n">
        <v>19</v>
      </c>
      <c r="I34" t="inlineStr">
        <is>
          <t>Internos del Congreso</t>
        </is>
      </c>
      <c r="J34" t="n">
        <v>41</v>
      </c>
      <c r="K34" t="n">
        <v>0</v>
      </c>
      <c r="L34" t="n">
        <v>0</v>
      </c>
      <c r="M34" t="n">
        <v>0</v>
      </c>
      <c r="N34">
        <f>SUM(J34:M34)</f>
        <v/>
      </c>
      <c r="O34" s="4">
        <f>SUM(J34:L34)/SUM(J34:M34)</f>
        <v/>
      </c>
      <c r="P34" s="5">
        <f>MAX(J34:L34)/SUM(J34:L34)</f>
        <v/>
      </c>
    </row>
    <row r="35">
      <c r="A35" t="inlineStr">
        <is>
          <t>Primer año</t>
        </is>
      </c>
      <c r="B35" t="inlineStr">
        <is>
          <t>Primer periodo</t>
        </is>
      </c>
      <c r="C35" t="n">
        <v>33</v>
      </c>
      <c r="D35" t="n">
        <v>33</v>
      </c>
      <c r="E35" s="3" t="n">
        <v>45554</v>
      </c>
      <c r="F35" t="inlineStr">
        <is>
          <t>Punto de Acuerdo</t>
        </is>
      </c>
      <c r="G35" t="inlineStr">
        <is>
          <t>Acuerdo para la elección e integración de la Comisión de Cultura</t>
        </is>
      </c>
      <c r="H35" t="n">
        <v>19</v>
      </c>
      <c r="I35" t="inlineStr">
        <is>
          <t>Internos del Congreso</t>
        </is>
      </c>
      <c r="J35" t="n">
        <v>41</v>
      </c>
      <c r="K35" t="n">
        <v>0</v>
      </c>
      <c r="L35" t="n">
        <v>0</v>
      </c>
      <c r="M35" t="n">
        <v>0</v>
      </c>
      <c r="N35">
        <f>SUM(J35:M35)</f>
        <v/>
      </c>
      <c r="O35" s="4">
        <f>SUM(J35:L35)/SUM(J35:M35)</f>
        <v/>
      </c>
      <c r="P35" s="5">
        <f>MAX(J35:L35)/SUM(J35:L35)</f>
        <v/>
      </c>
    </row>
    <row r="36">
      <c r="A36" t="inlineStr">
        <is>
          <t>Primer año</t>
        </is>
      </c>
      <c r="B36" t="inlineStr">
        <is>
          <t>Primer periodo</t>
        </is>
      </c>
      <c r="C36" t="n">
        <v>34</v>
      </c>
      <c r="D36" t="n">
        <v>34</v>
      </c>
      <c r="E36" s="3" t="n">
        <v>45554</v>
      </c>
      <c r="F36" t="inlineStr">
        <is>
          <t>Punto de Acuerdo</t>
        </is>
      </c>
      <c r="G36" t="inlineStr">
        <is>
          <t>Acuerdo para la elección e integración de la Comisión de Participación Ciudadana y Combate a la Corrupción</t>
        </is>
      </c>
      <c r="H36" t="n">
        <v>19</v>
      </c>
      <c r="I36" t="inlineStr">
        <is>
          <t>Internos del Congreso</t>
        </is>
      </c>
      <c r="J36" t="n">
        <v>41</v>
      </c>
      <c r="K36" t="n">
        <v>0</v>
      </c>
      <c r="L36" t="n">
        <v>0</v>
      </c>
      <c r="M36" t="n">
        <v>0</v>
      </c>
      <c r="N36">
        <f>SUM(J36:M36)</f>
        <v/>
      </c>
      <c r="O36" s="4">
        <f>SUM(J36:L36)/SUM(J36:M36)</f>
        <v/>
      </c>
      <c r="P36" s="5">
        <f>MAX(J36:L36)/SUM(J36:L36)</f>
        <v/>
      </c>
    </row>
    <row r="37">
      <c r="A37" t="inlineStr">
        <is>
          <t>Primer año</t>
        </is>
      </c>
      <c r="B37" t="inlineStr">
        <is>
          <t>Primer periodo</t>
        </is>
      </c>
      <c r="C37" t="n">
        <v>35</v>
      </c>
      <c r="D37" t="n">
        <v>35</v>
      </c>
      <c r="E37" s="3" t="n">
        <v>45554</v>
      </c>
      <c r="F37" t="inlineStr">
        <is>
          <t>Punto de Acuerdo</t>
        </is>
      </c>
      <c r="G37" t="inlineStr">
        <is>
          <t>Acuerdo para la elección e integración de la Comisión de la Familia y los Derechos de la Niñez</t>
        </is>
      </c>
      <c r="H37" t="n">
        <v>19</v>
      </c>
      <c r="I37" t="inlineStr">
        <is>
          <t>Internos del Congreso</t>
        </is>
      </c>
      <c r="J37" t="n">
        <v>41</v>
      </c>
      <c r="K37" t="n">
        <v>0</v>
      </c>
      <c r="L37" t="n">
        <v>0</v>
      </c>
      <c r="M37" t="n">
        <v>0</v>
      </c>
      <c r="N37">
        <f>SUM(J37:M37)</f>
        <v/>
      </c>
      <c r="O37" s="4">
        <f>SUM(J37:L37)/SUM(J37:M37)</f>
        <v/>
      </c>
      <c r="P37" s="5">
        <f>MAX(J37:L37)/SUM(J37:L37)</f>
        <v/>
      </c>
    </row>
    <row r="38">
      <c r="A38" t="inlineStr">
        <is>
          <t>Primer año</t>
        </is>
      </c>
      <c r="B38" t="inlineStr">
        <is>
          <t>Primer periodo</t>
        </is>
      </c>
      <c r="C38" t="n">
        <v>36</v>
      </c>
      <c r="D38" t="n">
        <v>36</v>
      </c>
      <c r="E38" s="3" t="n">
        <v>45554</v>
      </c>
      <c r="F38" t="inlineStr">
        <is>
          <t>Punto de Acuerdo</t>
        </is>
      </c>
      <c r="G38" t="inlineStr">
        <is>
          <t>Acuerdo para la elección e integración de la Comisión de la Agenda 2030 y Convenios o Acuerdos que se determinen en el ámbito internacional</t>
        </is>
      </c>
      <c r="H38" t="n">
        <v>19</v>
      </c>
      <c r="I38" t="inlineStr">
        <is>
          <t>Internos del Congreso</t>
        </is>
      </c>
      <c r="J38" t="n">
        <v>41</v>
      </c>
      <c r="K38" t="n">
        <v>0</v>
      </c>
      <c r="L38" t="n">
        <v>0</v>
      </c>
      <c r="M38" t="n">
        <v>0</v>
      </c>
      <c r="N38">
        <f>SUM(J38:M38)</f>
        <v/>
      </c>
      <c r="O38" s="4">
        <f>SUM(J38:L38)/SUM(J38:M38)</f>
        <v/>
      </c>
      <c r="P38" s="5">
        <f>MAX(J38:L38)/SUM(J38:L38)</f>
        <v/>
      </c>
    </row>
    <row r="39">
      <c r="A39" t="inlineStr">
        <is>
          <t>Primer año</t>
        </is>
      </c>
      <c r="B39" t="inlineStr">
        <is>
          <t>Primer periodo</t>
        </is>
      </c>
      <c r="C39" t="n">
        <v>37</v>
      </c>
      <c r="D39" t="n">
        <v>37</v>
      </c>
      <c r="E39" s="3" t="n">
        <v>45554</v>
      </c>
      <c r="F39" t="inlineStr">
        <is>
          <t>Punto de Acuerdo</t>
        </is>
      </c>
      <c r="G39" t="inlineStr">
        <is>
          <t>Acuerdo para la elección e integración del Comité de Adquisiciones, Arrendamientos y Servicios</t>
        </is>
      </c>
      <c r="H39" t="n">
        <v>19</v>
      </c>
      <c r="I39" t="inlineStr">
        <is>
          <t>Internos del Congreso</t>
        </is>
      </c>
      <c r="J39" t="n">
        <v>41</v>
      </c>
      <c r="K39" t="n">
        <v>0</v>
      </c>
      <c r="L39" t="n">
        <v>0</v>
      </c>
      <c r="M39" t="n">
        <v>0</v>
      </c>
      <c r="N39">
        <f>SUM(J39:M39)</f>
        <v/>
      </c>
      <c r="O39" s="4">
        <f>SUM(J39:L39)/SUM(J39:M39)</f>
        <v/>
      </c>
      <c r="P39" s="5">
        <f>MAX(J39:L39)/SUM(J39:L39)</f>
        <v/>
      </c>
    </row>
    <row r="40">
      <c r="A40" t="inlineStr">
        <is>
          <t>Primer año</t>
        </is>
      </c>
      <c r="B40" t="inlineStr">
        <is>
          <t>Primer periodo</t>
        </is>
      </c>
      <c r="C40" t="n">
        <v>38</v>
      </c>
      <c r="D40" t="n">
        <v>38</v>
      </c>
      <c r="E40" s="3" t="n">
        <v>45554</v>
      </c>
      <c r="F40" t="inlineStr">
        <is>
          <t>Punto de Acuerdo</t>
        </is>
      </c>
      <c r="G40" t="inlineStr">
        <is>
          <t>Acuerdo para la elección e integración del Comité de Diario de Debates, Crónica Legislativa y Asuntos Editoriales</t>
        </is>
      </c>
      <c r="H40" t="n">
        <v>19</v>
      </c>
      <c r="I40" t="inlineStr">
        <is>
          <t>Internos del Congreso</t>
        </is>
      </c>
      <c r="J40" t="n">
        <v>41</v>
      </c>
      <c r="K40" t="n">
        <v>0</v>
      </c>
      <c r="L40" t="n">
        <v>0</v>
      </c>
      <c r="M40" t="n">
        <v>0</v>
      </c>
      <c r="N40">
        <f>SUM(J40:M40)</f>
        <v/>
      </c>
      <c r="O40" s="4">
        <f>SUM(J40:L40)/SUM(J40:M40)</f>
        <v/>
      </c>
      <c r="P40" s="5">
        <f>MAX(J40:L40)/SUM(J40:L40)</f>
        <v/>
      </c>
    </row>
    <row r="41">
      <c r="A41" t="inlineStr">
        <is>
          <t>Primer año</t>
        </is>
      </c>
      <c r="B41" t="inlineStr">
        <is>
          <t>Primer periodo</t>
        </is>
      </c>
      <c r="C41" t="n">
        <v>39</v>
      </c>
      <c r="D41" t="n">
        <v>39</v>
      </c>
      <c r="E41" s="3" t="n">
        <v>45554</v>
      </c>
      <c r="F41" t="inlineStr">
        <is>
          <t>Punto de Acuerdo</t>
        </is>
      </c>
      <c r="G41" t="inlineStr">
        <is>
          <t>Acuerdo para la elección e integración del Comité de Atención Ciudadana</t>
        </is>
      </c>
      <c r="H41" t="n">
        <v>19</v>
      </c>
      <c r="I41" t="inlineStr">
        <is>
          <t>Internos del Congreso</t>
        </is>
      </c>
      <c r="J41" t="n">
        <v>41</v>
      </c>
      <c r="K41" t="n">
        <v>0</v>
      </c>
      <c r="L41" t="n">
        <v>0</v>
      </c>
      <c r="M41" t="n">
        <v>0</v>
      </c>
      <c r="N41">
        <f>SUM(J41:M41)</f>
        <v/>
      </c>
      <c r="O41" s="4">
        <f>SUM(J41:L41)/SUM(J41:M41)</f>
        <v/>
      </c>
      <c r="P41" s="5">
        <f>MAX(J41:L41)/SUM(J41:L41)</f>
        <v/>
      </c>
    </row>
    <row r="42">
      <c r="A42" t="inlineStr">
        <is>
          <t>Primer año</t>
        </is>
      </c>
      <c r="B42" t="inlineStr">
        <is>
          <t>Primer periodo</t>
        </is>
      </c>
      <c r="C42" t="n">
        <v>40</v>
      </c>
      <c r="D42" t="n">
        <v>40</v>
      </c>
      <c r="E42" s="3" t="n">
        <v>45554</v>
      </c>
      <c r="F42" t="inlineStr">
        <is>
          <t>Punto de Acuerdo</t>
        </is>
      </c>
      <c r="G42" t="inlineStr">
        <is>
          <t>Acuerdo para la elección e integración del Comité de Innovación y Tecnología</t>
        </is>
      </c>
      <c r="H42" t="n">
        <v>19</v>
      </c>
      <c r="I42" t="inlineStr">
        <is>
          <t>Internos del Congreso</t>
        </is>
      </c>
      <c r="J42" t="n">
        <v>41</v>
      </c>
      <c r="K42" t="n">
        <v>0</v>
      </c>
      <c r="L42" t="n">
        <v>0</v>
      </c>
      <c r="M42" t="n">
        <v>0</v>
      </c>
      <c r="N42">
        <f>SUM(J42:M42)</f>
        <v/>
      </c>
      <c r="O42" s="4">
        <f>SUM(J42:L42)/SUM(J42:M42)</f>
        <v/>
      </c>
      <c r="P42" s="5">
        <f>MAX(J42:L42)/SUM(J42:L42)</f>
        <v/>
      </c>
    </row>
    <row r="43">
      <c r="A43" t="inlineStr">
        <is>
          <t>Primer año</t>
        </is>
      </c>
      <c r="B43" t="inlineStr">
        <is>
          <t>Primer periodo</t>
        </is>
      </c>
      <c r="C43" t="n">
        <v>41</v>
      </c>
      <c r="D43" t="n">
        <v>41</v>
      </c>
      <c r="E43" s="3" t="n">
        <v>45554</v>
      </c>
      <c r="F43" t="inlineStr">
        <is>
          <t>Punto de Acuerdo</t>
        </is>
      </c>
      <c r="G43" t="inlineStr">
        <is>
          <t>Acuerdo para la elección e integración del Comité de Comunicación Social</t>
        </is>
      </c>
      <c r="H43" t="n">
        <v>19</v>
      </c>
      <c r="I43" t="inlineStr">
        <is>
          <t>Internos del Congreso</t>
        </is>
      </c>
      <c r="J43" t="n">
        <v>41</v>
      </c>
      <c r="K43" t="n">
        <v>0</v>
      </c>
      <c r="L43" t="n">
        <v>0</v>
      </c>
      <c r="M43" t="n">
        <v>0</v>
      </c>
      <c r="N43">
        <f>SUM(J43:M43)</f>
        <v/>
      </c>
      <c r="O43" s="4">
        <f>SUM(J43:L43)/SUM(J43:M43)</f>
        <v/>
      </c>
      <c r="P43" s="5">
        <f>MAX(J43:L43)/SUM(J43:L43)</f>
        <v/>
      </c>
    </row>
    <row r="44">
      <c r="A44" t="inlineStr">
        <is>
          <t>Primer año</t>
        </is>
      </c>
      <c r="B44" t="inlineStr">
        <is>
          <t>Primer periodo</t>
        </is>
      </c>
      <c r="C44" t="n">
        <v>42</v>
      </c>
      <c r="D44" t="n">
        <v>42</v>
      </c>
      <c r="E44" s="3" t="n">
        <v>45554</v>
      </c>
      <c r="F44" t="inlineStr">
        <is>
          <t>Punto de Acuerdo</t>
        </is>
      </c>
      <c r="G44" t="inlineStr">
        <is>
          <t>Acuerdo por el cual la elección de la diputada que presidirá la junta de gobierno y coordinación política</t>
        </is>
      </c>
      <c r="H44" t="n">
        <v>19</v>
      </c>
      <c r="I44" t="inlineStr">
        <is>
          <t>Internos del Congreso</t>
        </is>
      </c>
      <c r="J44" t="n">
        <v>40</v>
      </c>
      <c r="K44" t="n">
        <v>0</v>
      </c>
      <c r="L44" t="n">
        <v>0</v>
      </c>
      <c r="M44" t="n">
        <v>0</v>
      </c>
      <c r="N44">
        <f>SUM(J44:M44)</f>
        <v/>
      </c>
      <c r="O44" s="4">
        <f>SUM(J44:L44)/SUM(J44:M44)</f>
        <v/>
      </c>
      <c r="P44" s="5">
        <f>MAX(J44:L44)/SUM(J44:L44)</f>
        <v/>
      </c>
    </row>
    <row r="45">
      <c r="A45" t="inlineStr">
        <is>
          <t>Primer año</t>
        </is>
      </c>
      <c r="B45" t="inlineStr">
        <is>
          <t>Primer periodo</t>
        </is>
      </c>
      <c r="C45" t="n">
        <v>43</v>
      </c>
      <c r="D45" t="n">
        <v>43</v>
      </c>
      <c r="E45" s="3" t="n">
        <v>45561</v>
      </c>
      <c r="F45" t="inlineStr">
        <is>
          <t>Punto de Acuerdo</t>
        </is>
      </c>
      <c r="G45" t="inlineStr">
        <is>
          <t>Acuerdo por el que se propone la designación de una vocalía en la comisión general instructora</t>
        </is>
      </c>
      <c r="H45" t="n">
        <v>19</v>
      </c>
      <c r="I45" t="inlineStr">
        <is>
          <t>Internos del Congreso</t>
        </is>
      </c>
      <c r="J45" t="n">
        <v>40</v>
      </c>
      <c r="K45" t="n">
        <v>0</v>
      </c>
      <c r="L45" t="n">
        <v>0</v>
      </c>
      <c r="M45" t="n">
        <v>0</v>
      </c>
      <c r="N45">
        <f>SUM(J45:M45)</f>
        <v/>
      </c>
      <c r="O45" s="4">
        <f>SUM(J45:L45)/SUM(J45:M45)</f>
        <v/>
      </c>
      <c r="P45" s="5">
        <f>MAX(J45:L45)/SUM(J45:L45)</f>
        <v/>
      </c>
    </row>
    <row r="46">
      <c r="A46" t="inlineStr">
        <is>
          <t>Primer año</t>
        </is>
      </c>
      <c r="B46" t="inlineStr">
        <is>
          <t>Primer periodo</t>
        </is>
      </c>
      <c r="C46" t="n">
        <v>44</v>
      </c>
      <c r="D46" t="n">
        <v>44</v>
      </c>
      <c r="E46" s="3" t="n">
        <v>45561</v>
      </c>
      <c r="F46" t="inlineStr">
        <is>
          <t>Punto de Acuerdo</t>
        </is>
      </c>
      <c r="G46" t="inlineStr">
        <is>
          <t>Acuerdo por el que se propone la designación de una vocalía en el comité de diario de debates, crónica legislativa y asuntos editoriales</t>
        </is>
      </c>
      <c r="H46" t="n">
        <v>19</v>
      </c>
      <c r="I46" t="inlineStr">
        <is>
          <t>Internos del Congreso</t>
        </is>
      </c>
      <c r="J46" t="n">
        <v>40</v>
      </c>
      <c r="K46" t="n">
        <v>0</v>
      </c>
      <c r="L46" t="n">
        <v>0</v>
      </c>
      <c r="M46" t="n">
        <v>0</v>
      </c>
      <c r="N46">
        <f>SUM(J46:M46)</f>
        <v/>
      </c>
      <c r="O46" s="4">
        <f>SUM(J46:L46)/SUM(J46:M46)</f>
        <v/>
      </c>
      <c r="P46" s="5">
        <f>MAX(J46:L46)/SUM(J46:L46)</f>
        <v/>
      </c>
    </row>
    <row r="47">
      <c r="A47" t="inlineStr">
        <is>
          <t>Primer año</t>
        </is>
      </c>
      <c r="B47" t="inlineStr">
        <is>
          <t>Primer periodo</t>
        </is>
      </c>
      <c r="C47" t="n">
        <v>45</v>
      </c>
      <c r="D47" t="n">
        <v>45</v>
      </c>
      <c r="E47" s="3" t="n">
        <v>45561</v>
      </c>
      <c r="F47" t="inlineStr">
        <is>
          <t>Iniciativa</t>
        </is>
      </c>
      <c r="G47" t="inlineStr">
        <is>
          <t>Dictamen con minuta de decreto que presenta la comisión de gobernación y puntos constitucionales por el que se reforma, adiciona y deroga el artículo 2° de la constitución política de los estados unidos mexicanos, en materia de pueblos y comunidades indígenas y afromexicanos</t>
        </is>
      </c>
      <c r="H47" t="n">
        <v>18</v>
      </c>
      <c r="I47" t="inlineStr">
        <is>
          <t>Administración Pública</t>
        </is>
      </c>
      <c r="J47" t="n">
        <v>40</v>
      </c>
      <c r="K47" t="n">
        <v>0</v>
      </c>
      <c r="L47" t="n">
        <v>0</v>
      </c>
      <c r="M47" t="n">
        <v>0</v>
      </c>
      <c r="N47">
        <f>SUM(J47:M47)</f>
        <v/>
      </c>
      <c r="O47" s="4">
        <f>SUM(J47:L47)/SUM(J47:M47)</f>
        <v/>
      </c>
      <c r="P47" s="5">
        <f>MAX(J47:L47)/SUM(J47:L47)</f>
        <v/>
      </c>
    </row>
    <row r="48">
      <c r="A48" t="inlineStr">
        <is>
          <t>Primer año</t>
        </is>
      </c>
      <c r="B48" t="inlineStr">
        <is>
          <t>Primer periodo</t>
        </is>
      </c>
      <c r="C48" t="n">
        <v>46</v>
      </c>
      <c r="D48" t="n">
        <v>46</v>
      </c>
      <c r="E48" s="3" t="n">
        <v>45561</v>
      </c>
      <c r="F48" t="inlineStr">
        <is>
          <t>Iniciativa</t>
        </is>
      </c>
      <c r="G48" t="inlineStr">
        <is>
          <t>Dictamen con minuta de decreto por el cual se reforman y adicionan los artículos 13, 16, 21, 32, 55, 73, 76, 78, 82, 89, 123 y 129 de la constitución política de los estados unidos mexicanos, en materia de guardia nacional</t>
        </is>
      </c>
      <c r="H48" t="n">
        <v>3</v>
      </c>
      <c r="I48" t="inlineStr">
        <is>
          <t>Seguridad Pública, Protección Civil y Narcotráfico</t>
        </is>
      </c>
      <c r="J48" t="n">
        <v>33</v>
      </c>
      <c r="K48" t="n">
        <v>7</v>
      </c>
      <c r="L48" t="n">
        <v>0</v>
      </c>
      <c r="M48" t="n">
        <v>0</v>
      </c>
      <c r="N48">
        <f>SUM(J48:M48)</f>
        <v/>
      </c>
      <c r="O48" s="4">
        <f>SUM(J48:L48)/SUM(J48:M48)</f>
        <v/>
      </c>
      <c r="P48" s="5">
        <f>MAX(J48:L48)/SUM(J48:L48)</f>
        <v/>
      </c>
    </row>
    <row r="49">
      <c r="A49" t="inlineStr">
        <is>
          <t>Primer año</t>
        </is>
      </c>
      <c r="B49" t="inlineStr">
        <is>
          <t>Primer periodo</t>
        </is>
      </c>
      <c r="C49" t="n">
        <v>47</v>
      </c>
      <c r="D49" t="n">
        <v>47</v>
      </c>
      <c r="E49" s="3" t="n">
        <v>45561</v>
      </c>
      <c r="F49" t="inlineStr">
        <is>
          <t>Punto de Acuerdo</t>
        </is>
      </c>
      <c r="G49" t="inlineStr">
        <is>
          <t>Acuerdo por el cual se concede licencia a la ciudadana Ana Laura Altamirano Pérez, para separarse del cargo de diputada local de la sexagésima segunda legislatura por tiempo indefinido mayor a treinta días, a partir del primero de octubre del año en curso</t>
        </is>
      </c>
      <c r="H49" t="n">
        <v>19</v>
      </c>
      <c r="I49" t="inlineStr">
        <is>
          <t>Internos del Congreso</t>
        </is>
      </c>
      <c r="J49" t="n">
        <v>40</v>
      </c>
      <c r="K49" t="n">
        <v>0</v>
      </c>
      <c r="L49" t="n">
        <v>0</v>
      </c>
      <c r="M49" t="n">
        <v>0</v>
      </c>
      <c r="N49">
        <f>SUM(J49:M49)</f>
        <v/>
      </c>
      <c r="O49" s="4">
        <f>SUM(J49:L49)/SUM(J49:M49)</f>
        <v/>
      </c>
      <c r="P49" s="5">
        <f>MAX(J49:L49)/SUM(J49:L49)</f>
        <v/>
      </c>
    </row>
    <row r="50">
      <c r="A50" t="inlineStr">
        <is>
          <t>Primer año</t>
        </is>
      </c>
      <c r="B50" t="inlineStr">
        <is>
          <t>Primer periodo</t>
        </is>
      </c>
      <c r="C50" t="n">
        <v>48</v>
      </c>
      <c r="D50" t="n">
        <v>48</v>
      </c>
      <c r="E50" s="3" t="n">
        <v>45568</v>
      </c>
      <c r="F50" t="inlineStr">
        <is>
          <t>Punto de Acuerdo</t>
        </is>
      </c>
      <c r="G50" t="inlineStr">
        <is>
          <t>Acuerdo por el cual el contenido del acta de la sesión pública ordinaria celebrada el veintiséis de septiembre del año en curso</t>
        </is>
      </c>
      <c r="H50" t="n">
        <v>19</v>
      </c>
      <c r="I50" t="inlineStr">
        <is>
          <t>Internos del Congreso</t>
        </is>
      </c>
      <c r="J50" t="n">
        <v>41</v>
      </c>
      <c r="K50" t="n">
        <v>0</v>
      </c>
      <c r="L50" t="n">
        <v>0</v>
      </c>
      <c r="M50" t="n">
        <v>0</v>
      </c>
      <c r="N50">
        <f>SUM(J50:M50)</f>
        <v/>
      </c>
      <c r="O50" s="4">
        <f>SUM(J50:L50)/SUM(J50:M50)</f>
        <v/>
      </c>
      <c r="P50" s="5">
        <f>MAX(J50:L50)/SUM(J50:L50)</f>
        <v/>
      </c>
    </row>
    <row r="51">
      <c r="A51" t="inlineStr">
        <is>
          <t>Primer año</t>
        </is>
      </c>
      <c r="B51" t="inlineStr">
        <is>
          <t>Primer periodo</t>
        </is>
      </c>
      <c r="C51" t="n">
        <v>49</v>
      </c>
      <c r="D51" t="n">
        <v>49</v>
      </c>
      <c r="E51" s="3" t="n">
        <v>45575</v>
      </c>
      <c r="F51" t="inlineStr">
        <is>
          <t>Punto de Acuerdo</t>
        </is>
      </c>
      <c r="G51" t="inlineStr">
        <is>
          <t>Acuerdo por el cual acepta la renuncia de la titular del órgano interno de control del honorable congreso del estado</t>
        </is>
      </c>
      <c r="H51" t="n">
        <v>18</v>
      </c>
      <c r="I51" t="inlineStr">
        <is>
          <t>Administración Pública</t>
        </is>
      </c>
      <c r="J51" t="n">
        <v>36</v>
      </c>
      <c r="K51" t="n">
        <v>0</v>
      </c>
      <c r="L51" t="n">
        <v>0</v>
      </c>
      <c r="M51" t="n">
        <v>5</v>
      </c>
      <c r="N51">
        <f>SUM(J51:M51)</f>
        <v/>
      </c>
      <c r="O51" s="4">
        <f>SUM(J51:L51)/SUM(J51:M51)</f>
        <v/>
      </c>
      <c r="P51" s="5">
        <f>MAX(J51:L51)/SUM(J51:L51)</f>
        <v/>
      </c>
    </row>
    <row r="52">
      <c r="A52" t="inlineStr">
        <is>
          <t>Primer año</t>
        </is>
      </c>
      <c r="B52" t="inlineStr">
        <is>
          <t>Primer periodo</t>
        </is>
      </c>
      <c r="C52" t="n">
        <v>50</v>
      </c>
      <c r="D52" t="n">
        <v>50</v>
      </c>
      <c r="E52" s="3" t="n">
        <v>45575</v>
      </c>
      <c r="F52" t="inlineStr">
        <is>
          <t>Punto de Acuerdo</t>
        </is>
      </c>
      <c r="G52" t="inlineStr">
        <is>
          <t>Acuerdo por el cual se nombra al ciudadano Antonio Vasconcelos Rueda, como titular del órgano interno de control del honorable congreso del estado</t>
        </is>
      </c>
      <c r="H52" t="n">
        <v>18</v>
      </c>
      <c r="I52" t="inlineStr">
        <is>
          <t>Administración Pública</t>
        </is>
      </c>
      <c r="J52" t="n">
        <v>37</v>
      </c>
      <c r="K52" t="n">
        <v>0</v>
      </c>
      <c r="L52" t="n">
        <v>0</v>
      </c>
      <c r="M52" t="n">
        <v>4</v>
      </c>
      <c r="N52">
        <f>SUM(J52:M52)</f>
        <v/>
      </c>
      <c r="O52" s="4">
        <f>SUM(J52:L52)/SUM(J52:M52)</f>
        <v/>
      </c>
      <c r="P52" s="5">
        <f>MAX(J52:L52)/SUM(J52:L52)</f>
        <v/>
      </c>
    </row>
    <row r="53">
      <c r="A53" t="inlineStr">
        <is>
          <t>Primer año</t>
        </is>
      </c>
      <c r="B53" t="inlineStr">
        <is>
          <t>Primer periodo</t>
        </is>
      </c>
      <c r="C53" t="n">
        <v>51</v>
      </c>
      <c r="D53" t="n">
        <v>51</v>
      </c>
      <c r="E53" s="3" t="n">
        <v>45575</v>
      </c>
      <c r="F53" t="inlineStr">
        <is>
          <t>Punto de Acuerdo</t>
        </is>
      </c>
      <c r="G53" t="inlineStr">
        <is>
          <t>Acuerdo para la elección e integración de la sustitución de la secretaría de la comisión general de desarrollo rural y de las vocalías de las comisiones generales de hacienda y patrimonio municipal; de presupuesto y crédito público; de bienestar; de salud; de pueblos, comunidades indígenas y afromexicanas y la instructora</t>
        </is>
      </c>
      <c r="H53" t="n">
        <v>19</v>
      </c>
      <c r="I53" t="inlineStr">
        <is>
          <t>Internos del Congreso</t>
        </is>
      </c>
      <c r="J53" t="n">
        <v>37</v>
      </c>
      <c r="K53" t="n">
        <v>0</v>
      </c>
      <c r="L53" t="n">
        <v>0</v>
      </c>
      <c r="M53" t="n">
        <v>4</v>
      </c>
      <c r="N53">
        <f>SUM(J53:M53)</f>
        <v/>
      </c>
      <c r="O53" s="4">
        <f>SUM(J53:L53)/SUM(J53:M53)</f>
        <v/>
      </c>
      <c r="P53" s="5">
        <f>MAX(J53:L53)/SUM(J53:L53)</f>
        <v/>
      </c>
    </row>
    <row r="54">
      <c r="A54" t="inlineStr">
        <is>
          <t>Primer año</t>
        </is>
      </c>
      <c r="B54" t="inlineStr">
        <is>
          <t>Primer periodo</t>
        </is>
      </c>
      <c r="C54" t="n">
        <v>52</v>
      </c>
      <c r="D54" t="n">
        <v>52</v>
      </c>
      <c r="E54" s="3" t="n">
        <v>45575</v>
      </c>
      <c r="F54" t="inlineStr">
        <is>
          <t>Punto de Acuerdo</t>
        </is>
      </c>
      <c r="G54" t="inlineStr">
        <is>
          <t>Acuerdo para la elección e integración de la sustitución de la presidencia en el comité de adquisiciones, arrendamientos y servicios</t>
        </is>
      </c>
      <c r="H54" t="n">
        <v>19</v>
      </c>
      <c r="I54" t="inlineStr">
        <is>
          <t>Internos del Congreso</t>
        </is>
      </c>
      <c r="J54" t="n">
        <v>37</v>
      </c>
      <c r="K54" t="n">
        <v>0</v>
      </c>
      <c r="L54" t="n">
        <v>0</v>
      </c>
      <c r="M54" t="n">
        <v>4</v>
      </c>
      <c r="N54">
        <f>SUM(J54:M54)</f>
        <v/>
      </c>
      <c r="O54" s="4">
        <f>SUM(J54:L54)/SUM(J54:M54)</f>
        <v/>
      </c>
      <c r="P54" s="5">
        <f>MAX(J54:L54)/SUM(J54:L54)</f>
        <v/>
      </c>
    </row>
    <row r="55">
      <c r="A55" t="inlineStr">
        <is>
          <t>Primer año</t>
        </is>
      </c>
      <c r="B55" t="inlineStr">
        <is>
          <t>Primer periodo</t>
        </is>
      </c>
      <c r="C55" t="n">
        <v>53</v>
      </c>
      <c r="D55" t="n">
        <v>53</v>
      </c>
      <c r="E55" s="3" t="n">
        <v>45580</v>
      </c>
      <c r="F55" t="inlineStr">
        <is>
          <t>Iniciativa</t>
        </is>
      </c>
      <c r="G55" t="inlineStr">
        <is>
          <t>Dictamen con minuta Proyecto de decreto por el cual se reforma el primer párrafo de la fracción vi del apartado a y se adiciona un tercer párrafo a la fracción iv del apartado b del artículo 123 de la constitución política de los , en materia de salarios</t>
        </is>
      </c>
      <c r="H55" t="n">
        <v>18</v>
      </c>
      <c r="I55" t="inlineStr">
        <is>
          <t>Administración Pública</t>
        </is>
      </c>
      <c r="J55" t="n">
        <v>39</v>
      </c>
      <c r="K55" t="n">
        <v>0</v>
      </c>
      <c r="L55" t="n">
        <v>0</v>
      </c>
      <c r="M55" t="n">
        <v>2</v>
      </c>
      <c r="N55">
        <f>SUM(J55:M55)</f>
        <v/>
      </c>
      <c r="O55" s="4">
        <f>SUM(J55:L55)/SUM(J55:M55)</f>
        <v/>
      </c>
      <c r="P55" s="5">
        <f>MAX(J55:L55)/SUM(J55:L55)</f>
        <v/>
      </c>
    </row>
    <row r="56">
      <c r="A56" t="inlineStr">
        <is>
          <t>Primer año</t>
        </is>
      </c>
      <c r="B56" t="inlineStr">
        <is>
          <t>Primer periodo</t>
        </is>
      </c>
      <c r="C56" t="n">
        <v>54</v>
      </c>
      <c r="D56" t="n">
        <v>54</v>
      </c>
      <c r="E56" s="3" t="n">
        <v>45580</v>
      </c>
      <c r="F56" t="inlineStr">
        <is>
          <t>Punto de Acuerdo</t>
        </is>
      </c>
      <c r="G56" t="inlineStr">
        <is>
          <t>Acuerdo por el cual se convoca a elecciones extraordinarias de miembros de ayuntamiento en el municipio de ayotoxco de guerrero, para ejercer funciones durante el periodo constitucional 2024-2027 y se designa el concejo municipal</t>
        </is>
      </c>
      <c r="H56" t="n">
        <v>4</v>
      </c>
      <c r="I56" t="inlineStr">
        <is>
          <t>Partidos Políticos y Elecciones</t>
        </is>
      </c>
      <c r="J56" t="n">
        <v>39</v>
      </c>
      <c r="K56" t="n">
        <v>0</v>
      </c>
      <c r="L56" t="n">
        <v>0</v>
      </c>
      <c r="M56" t="n">
        <v>2</v>
      </c>
      <c r="N56">
        <f>SUM(J56:M56)</f>
        <v/>
      </c>
      <c r="O56" s="4">
        <f>SUM(J56:L56)/SUM(J56:M56)</f>
        <v/>
      </c>
      <c r="P56" s="5">
        <f>MAX(J56:L56)/SUM(J56:L56)</f>
        <v/>
      </c>
    </row>
    <row r="57">
      <c r="A57" t="inlineStr">
        <is>
          <t>Primer año</t>
        </is>
      </c>
      <c r="B57" t="inlineStr">
        <is>
          <t>Primer periodo</t>
        </is>
      </c>
      <c r="C57" t="n">
        <v>55</v>
      </c>
      <c r="D57" t="n">
        <v>55</v>
      </c>
      <c r="E57" s="3" t="n">
        <v>45580</v>
      </c>
      <c r="F57" t="inlineStr">
        <is>
          <t>Punto de Acuerdo</t>
        </is>
      </c>
      <c r="G57" t="inlineStr">
        <is>
          <t>Acuerdo por el cual se convoca a elecciones extraordinarias de miembros de ayuntamiento en el municipio de xiutetelco, para ejercer funciones durante el periodo constitucional 2024-2027 y se designa el concejo municipal</t>
        </is>
      </c>
      <c r="H57" t="n">
        <v>4</v>
      </c>
      <c r="I57" t="inlineStr">
        <is>
          <t>Partidos Políticos y Elecciones</t>
        </is>
      </c>
      <c r="J57" t="n">
        <v>38</v>
      </c>
      <c r="K57" t="n">
        <v>1</v>
      </c>
      <c r="L57" t="n">
        <v>0</v>
      </c>
      <c r="M57" t="n">
        <v>2</v>
      </c>
      <c r="N57">
        <f>SUM(J57:M57)</f>
        <v/>
      </c>
      <c r="O57" s="4">
        <f>SUM(J57:L57)/SUM(J57:M57)</f>
        <v/>
      </c>
      <c r="P57" s="5">
        <f>MAX(J57:L57)/SUM(J57:L57)</f>
        <v/>
      </c>
    </row>
    <row r="58">
      <c r="A58" t="inlineStr">
        <is>
          <t>Primer año</t>
        </is>
      </c>
      <c r="B58" t="inlineStr">
        <is>
          <t>Primer periodo</t>
        </is>
      </c>
      <c r="C58" t="n">
        <v>56</v>
      </c>
      <c r="D58" t="n">
        <v>56</v>
      </c>
      <c r="E58" s="3" t="n">
        <v>45580</v>
      </c>
      <c r="F58" t="inlineStr">
        <is>
          <t>Punto de Acuerdo</t>
        </is>
      </c>
      <c r="G58" t="inlineStr">
        <is>
          <t>Acuerdo por el cual se convoca a elecciones extraordinarias de miembros del ayuntamiento en el municipio de chignahuapan, para ejercer funciones durante el periodo constitucional 2024-2027 y se designa el concejo municipal</t>
        </is>
      </c>
      <c r="H58" t="n">
        <v>4</v>
      </c>
      <c r="I58" t="inlineStr">
        <is>
          <t>Partidos Políticos y Elecciones</t>
        </is>
      </c>
      <c r="J58" t="n">
        <v>34</v>
      </c>
      <c r="K58" t="n">
        <v>6</v>
      </c>
      <c r="L58" t="n">
        <v>0</v>
      </c>
      <c r="M58" t="n">
        <v>1</v>
      </c>
      <c r="N58">
        <f>SUM(J58:M58)</f>
        <v/>
      </c>
      <c r="O58" s="4">
        <f>SUM(J58:L58)/SUM(J58:M58)</f>
        <v/>
      </c>
      <c r="P58" s="5">
        <f>MAX(J58:L58)/SUM(J58:L58)</f>
        <v/>
      </c>
    </row>
    <row r="59">
      <c r="A59" t="inlineStr">
        <is>
          <t>Primer año</t>
        </is>
      </c>
      <c r="B59" t="inlineStr">
        <is>
          <t>Primer periodo</t>
        </is>
      </c>
      <c r="C59" t="n">
        <v>57</v>
      </c>
      <c r="D59" t="n">
        <v>57</v>
      </c>
      <c r="E59" s="3" t="n">
        <v>45580</v>
      </c>
      <c r="F59" t="inlineStr">
        <is>
          <t>Punto de Acuerdo</t>
        </is>
      </c>
      <c r="G59" t="inlineStr">
        <is>
          <t>Acuerdo por el cual se convoca a elecciones extraordinarias de miembros de ayuntamiento en el municipio de venustiano carranza, para ejercer funciones durante el periodo constitucional 2024-2027 y se designa el concejo municipal</t>
        </is>
      </c>
      <c r="H59" t="n">
        <v>4</v>
      </c>
      <c r="I59" t="inlineStr">
        <is>
          <t>Partidos Políticos y Elecciones</t>
        </is>
      </c>
      <c r="J59" t="n">
        <v>34</v>
      </c>
      <c r="K59" t="n">
        <v>6</v>
      </c>
      <c r="L59" t="n">
        <v>0</v>
      </c>
      <c r="M59" t="n">
        <v>1</v>
      </c>
      <c r="N59">
        <f>SUM(J59:M59)</f>
        <v/>
      </c>
      <c r="O59" s="4">
        <f>SUM(J59:L59)/SUM(J59:M59)</f>
        <v/>
      </c>
      <c r="P59" s="5">
        <f>MAX(J59:L59)/SUM(J59:L59)</f>
        <v/>
      </c>
    </row>
    <row r="60">
      <c r="A60" t="inlineStr">
        <is>
          <t>Primer año</t>
        </is>
      </c>
      <c r="B60" t="inlineStr">
        <is>
          <t>Primer periodo</t>
        </is>
      </c>
      <c r="C60" t="n">
        <v>58</v>
      </c>
      <c r="D60" t="n">
        <v>58</v>
      </c>
      <c r="E60" s="3" t="n">
        <v>45642</v>
      </c>
      <c r="F60" t="inlineStr">
        <is>
          <t>Punto de Acuerdo</t>
        </is>
      </c>
      <c r="G60" t="inlineStr">
        <is>
          <t>Acuerdo por el cual llevar a cabo las sesiones en el salón de plenos de este recinto legislativo</t>
        </is>
      </c>
      <c r="H60" t="n">
        <v>19</v>
      </c>
      <c r="I60" t="inlineStr">
        <is>
          <t>Internos del Congreso</t>
        </is>
      </c>
      <c r="J60" t="n">
        <v>8</v>
      </c>
      <c r="K60" t="n">
        <v>0</v>
      </c>
      <c r="L60" t="n">
        <v>0</v>
      </c>
      <c r="M60" t="n">
        <v>0</v>
      </c>
      <c r="N60">
        <f>SUM(J60:M60)</f>
        <v/>
      </c>
      <c r="O60" s="4">
        <f>SUM(J60:L60)/SUM(J60:M60)</f>
        <v/>
      </c>
      <c r="P60" s="5">
        <f>MAX(J60:L60)/SUM(J60:L60)</f>
        <v/>
      </c>
    </row>
    <row r="61">
      <c r="A61" t="inlineStr">
        <is>
          <t>Primer año</t>
        </is>
      </c>
      <c r="B61" t="inlineStr">
        <is>
          <t>Primer periodo</t>
        </is>
      </c>
      <c r="C61" t="n">
        <v>59</v>
      </c>
      <c r="D61" t="n">
        <v>59</v>
      </c>
      <c r="E61" s="3" t="n">
        <v>45642</v>
      </c>
      <c r="F61" t="inlineStr">
        <is>
          <t>Punto de Acuerdo</t>
        </is>
      </c>
      <c r="G61" t="inlineStr">
        <is>
          <t>Acuerdo por el cual tomarse en consideración la solicitud antes referida</t>
        </is>
      </c>
      <c r="H61" t="n">
        <v>19</v>
      </c>
      <c r="I61" t="inlineStr">
        <is>
          <t>Internos del Congreso</t>
        </is>
      </c>
      <c r="J61" t="n">
        <v>8</v>
      </c>
      <c r="K61" t="n">
        <v>0</v>
      </c>
      <c r="L61" t="n">
        <v>0</v>
      </c>
      <c r="M61" t="n">
        <v>0</v>
      </c>
      <c r="N61">
        <f>SUM(J61:M61)</f>
        <v/>
      </c>
      <c r="O61" s="4">
        <f>SUM(J61:L61)/SUM(J61:M61)</f>
        <v/>
      </c>
      <c r="P61" s="5">
        <f>MAX(J61:L61)/SUM(J61:L61)</f>
        <v/>
      </c>
    </row>
    <row r="62">
      <c r="A62" t="inlineStr">
        <is>
          <t>Primer año</t>
        </is>
      </c>
      <c r="B62" t="inlineStr">
        <is>
          <t>Primer periodo</t>
        </is>
      </c>
      <c r="C62" t="n">
        <v>60</v>
      </c>
      <c r="D62" t="n">
        <v>60</v>
      </c>
      <c r="E62" s="3" t="n">
        <v>45642</v>
      </c>
      <c r="F62" t="inlineStr">
        <is>
          <t>Punto de Acuerdo</t>
        </is>
      </c>
      <c r="G62" t="inlineStr">
        <is>
          <t>Acuerdo por el que se convoca a una sesión extraordinaria</t>
        </is>
      </c>
      <c r="H62" t="n">
        <v>19</v>
      </c>
      <c r="I62" t="inlineStr">
        <is>
          <t>Internos del Congreso</t>
        </is>
      </c>
      <c r="J62" t="n">
        <v>8</v>
      </c>
      <c r="K62" t="n">
        <v>0</v>
      </c>
      <c r="L62" t="n">
        <v>0</v>
      </c>
      <c r="M62" t="n">
        <v>0</v>
      </c>
      <c r="N62">
        <f>SUM(J62:M62)</f>
        <v/>
      </c>
      <c r="O62" s="4">
        <f>SUM(J62:L62)/SUM(J62:M62)</f>
        <v/>
      </c>
      <c r="P62" s="5">
        <f>MAX(J62:L62)/SUM(J62:L62)</f>
        <v/>
      </c>
    </row>
    <row r="63">
      <c r="A63" t="inlineStr">
        <is>
          <t>Primer año</t>
        </is>
      </c>
      <c r="B63" t="inlineStr">
        <is>
          <t>Primer periodo</t>
        </is>
      </c>
      <c r="C63" t="n">
        <v>61</v>
      </c>
      <c r="D63" t="n">
        <v>61</v>
      </c>
      <c r="E63" s="3" t="n">
        <v>45643</v>
      </c>
      <c r="F63" t="inlineStr">
        <is>
          <t>Punto de Acuerdo</t>
        </is>
      </c>
      <c r="G63" t="inlineStr">
        <is>
          <t>Acuerdo que presenta la junta de gobierno y coordinación política de la sexagésima segunda legislatura del honorable congreso del estado, por el que, de conformidad con lo dispuesto por el artículo 97 fracción i de la constitución política del estado libre y soberano de, se integra y se somete a consideración del pleno de esta soberanía la lista de las personas propuestas para ocupar el cargo de fiscal general del estado</t>
        </is>
      </c>
      <c r="H63" t="n">
        <v>18</v>
      </c>
      <c r="I63" t="inlineStr">
        <is>
          <t>Administración Pública</t>
        </is>
      </c>
      <c r="J63" t="n">
        <v>29</v>
      </c>
      <c r="K63" t="n">
        <v>0</v>
      </c>
      <c r="L63" t="n">
        <v>5</v>
      </c>
      <c r="M63" t="n">
        <v>0</v>
      </c>
      <c r="N63">
        <f>SUM(J63:M63)</f>
        <v/>
      </c>
      <c r="O63" s="4">
        <f>SUM(J63:L63)/SUM(J63:M63)</f>
        <v/>
      </c>
      <c r="P63" s="5">
        <f>MAX(J63:L63)/SUM(J63:L63)</f>
        <v/>
      </c>
    </row>
    <row r="64">
      <c r="A64" t="inlineStr">
        <is>
          <t>Primer año</t>
        </is>
      </c>
      <c r="B64" t="inlineStr">
        <is>
          <t>Primer periodo</t>
        </is>
      </c>
      <c r="C64" t="n">
        <v>62</v>
      </c>
      <c r="D64" t="n">
        <v>62</v>
      </c>
      <c r="E64" s="3" t="n">
        <v>45644</v>
      </c>
      <c r="F64" t="inlineStr">
        <is>
          <t>Punto de Acuerdo</t>
        </is>
      </c>
      <c r="G64" t="inlineStr">
        <is>
          <t>Acuerdo por el cual se convoca a una sesión extraordinaria</t>
        </is>
      </c>
      <c r="H64" t="n">
        <v>19</v>
      </c>
      <c r="I64" t="inlineStr">
        <is>
          <t>Internos del Congreso</t>
        </is>
      </c>
      <c r="J64" t="n">
        <v>7</v>
      </c>
      <c r="K64" t="n">
        <v>0</v>
      </c>
      <c r="L64" t="n">
        <v>0</v>
      </c>
      <c r="M64" t="n">
        <v>0</v>
      </c>
      <c r="N64">
        <f>SUM(J64:M64)</f>
        <v/>
      </c>
      <c r="O64" s="4">
        <f>SUM(J64:L64)/SUM(J64:M64)</f>
        <v/>
      </c>
      <c r="P64" s="5">
        <f>MAX(J64:L64)/SUM(J64:L64)</f>
        <v/>
      </c>
    </row>
    <row r="65">
      <c r="A65" t="inlineStr">
        <is>
          <t>Primer año</t>
        </is>
      </c>
      <c r="B65" t="inlineStr">
        <is>
          <t>Primer periodo</t>
        </is>
      </c>
      <c r="C65" t="n">
        <v>63</v>
      </c>
      <c r="D65" t="n">
        <v>63</v>
      </c>
      <c r="E65" s="3" t="n">
        <v>45644</v>
      </c>
      <c r="F65" t="inlineStr">
        <is>
          <t>Punto de Acuerdo</t>
        </is>
      </c>
      <c r="G65" t="inlineStr">
        <is>
          <t>Acuerdo por el que se exhorta a los diecinueve ayuntamientos de la zona metropolitana a que establezcan mesas de trabajo y espacios de diálogo para coordinar esfuerzos para promover la protección y conservación de los ecosistemas acuáticos</t>
        </is>
      </c>
      <c r="H65" t="n">
        <v>5</v>
      </c>
      <c r="I65" t="inlineStr">
        <is>
          <t>Medio Ambiente</t>
        </is>
      </c>
      <c r="J65" t="n">
        <v>8</v>
      </c>
      <c r="K65" t="n">
        <v>0</v>
      </c>
      <c r="L65" t="n">
        <v>0</v>
      </c>
      <c r="M65" t="n">
        <v>0</v>
      </c>
      <c r="N65">
        <f>SUM(J65:M65)</f>
        <v/>
      </c>
      <c r="O65" s="4">
        <f>SUM(J65:L65)/SUM(J65:M65)</f>
        <v/>
      </c>
      <c r="P65" s="5">
        <f>MAX(J65:L65)/SUM(J65:L65)</f>
        <v/>
      </c>
    </row>
    <row r="66">
      <c r="A66" t="inlineStr">
        <is>
          <t>Primer año</t>
        </is>
      </c>
      <c r="B66" t="inlineStr">
        <is>
          <t>Primer periodo</t>
        </is>
      </c>
      <c r="C66" t="n">
        <v>64</v>
      </c>
      <c r="D66" t="n">
        <v>64</v>
      </c>
      <c r="E66" s="3" t="n">
        <v>45645</v>
      </c>
      <c r="F66" t="inlineStr">
        <is>
          <t>Punto de Acuerdo</t>
        </is>
      </c>
      <c r="G66" t="inlineStr">
        <is>
          <t>Acuerdo por el cual se convoca a una sesión extraordinaria</t>
        </is>
      </c>
      <c r="H66" t="n">
        <v>19</v>
      </c>
      <c r="I66" t="inlineStr">
        <is>
          <t>Internos del Congreso</t>
        </is>
      </c>
      <c r="J66" t="n">
        <v>8</v>
      </c>
      <c r="K66" t="n">
        <v>0</v>
      </c>
      <c r="L66" t="n">
        <v>0</v>
      </c>
      <c r="M66" t="n">
        <v>1</v>
      </c>
      <c r="N66">
        <f>SUM(J66:M66)</f>
        <v/>
      </c>
      <c r="O66" s="4">
        <f>SUM(J66:L66)/SUM(J66:M66)</f>
        <v/>
      </c>
      <c r="P66" s="5">
        <f>MAX(J66:L66)/SUM(J66:L66)</f>
        <v/>
      </c>
    </row>
    <row r="67">
      <c r="A67" t="inlineStr">
        <is>
          <t>Primer año</t>
        </is>
      </c>
      <c r="B67" t="inlineStr">
        <is>
          <t>Primer periodo</t>
        </is>
      </c>
      <c r="C67" t="n">
        <v>65</v>
      </c>
      <c r="D67" t="n">
        <v>65</v>
      </c>
      <c r="E67" s="3" t="n">
        <v>45646</v>
      </c>
      <c r="F67" t="inlineStr">
        <is>
          <t>Iniciativa</t>
        </is>
      </c>
      <c r="G67" t="inlineStr">
        <is>
          <t>Dictamen con minuta de decreto que presenta la comisión de gobernación y puntos constitucionales por el que se reforma el párrafo primero y la fracción II del artículo 12 del decreto que crea el organismo público descentralizado denominado “sistema de información y comunicación del estado de ”</t>
        </is>
      </c>
      <c r="H67" t="n">
        <v>18</v>
      </c>
      <c r="I67" t="inlineStr">
        <is>
          <t>Administración Pública</t>
        </is>
      </c>
      <c r="J67" t="n">
        <v>37</v>
      </c>
      <c r="K67" t="n">
        <v>0</v>
      </c>
      <c r="L67" t="n">
        <v>0</v>
      </c>
      <c r="M67" t="n">
        <v>4</v>
      </c>
      <c r="N67">
        <f>SUM(J67:M67)</f>
        <v/>
      </c>
      <c r="O67" s="4">
        <f>SUM(J67:L67)/SUM(J67:M67)</f>
        <v/>
      </c>
      <c r="P67" s="5">
        <f>MAX(J67:L67)/SUM(J67:L67)</f>
        <v/>
      </c>
    </row>
    <row r="68">
      <c r="A68" t="inlineStr">
        <is>
          <t>Primer año</t>
        </is>
      </c>
      <c r="B68" t="inlineStr">
        <is>
          <t>Primer periodo</t>
        </is>
      </c>
      <c r="C68" t="n">
        <v>66</v>
      </c>
      <c r="D68" t="n">
        <v>66</v>
      </c>
      <c r="E68" s="3" t="n">
        <v>45646</v>
      </c>
      <c r="F68" t="inlineStr">
        <is>
          <t>Iniciativa</t>
        </is>
      </c>
      <c r="G68" t="inlineStr">
        <is>
          <t>Dictamen con minuta de decreto que presenta la comisión de gobernación y puntos constitucionales por el que se reforman los artículos 2 y 3, y las fracciones IV y V del 4; y se adiciona la fracción VI al artículo 4, del similar que crea el organismo público descentralizado denominado “corporación auxiliar de policía de protección ciudadana”</t>
        </is>
      </c>
      <c r="H68" t="n">
        <v>3</v>
      </c>
      <c r="I68" t="inlineStr">
        <is>
          <t>Seguridad Pública, Protección Civil y Narcotráfico</t>
        </is>
      </c>
      <c r="J68" t="n">
        <v>37</v>
      </c>
      <c r="K68" t="n">
        <v>0</v>
      </c>
      <c r="L68" t="n">
        <v>0</v>
      </c>
      <c r="M68" t="n">
        <v>4</v>
      </c>
      <c r="N68">
        <f>SUM(J68:M68)</f>
        <v/>
      </c>
      <c r="O68" s="4">
        <f>SUM(J68:L68)/SUM(J68:M68)</f>
        <v/>
      </c>
      <c r="P68" s="5">
        <f>MAX(J68:L68)/SUM(J68:L68)</f>
        <v/>
      </c>
    </row>
    <row r="69">
      <c r="A69" t="inlineStr">
        <is>
          <t>Primer año</t>
        </is>
      </c>
      <c r="B69" t="inlineStr">
        <is>
          <t>Primer periodo</t>
        </is>
      </c>
      <c r="C69" t="n">
        <v>67</v>
      </c>
      <c r="D69" t="n">
        <v>67</v>
      </c>
      <c r="E69" s="3" t="n">
        <v>45646</v>
      </c>
      <c r="F69" t="inlineStr">
        <is>
          <t>Punto de Acuerdo</t>
        </is>
      </c>
      <c r="G69" t="inlineStr">
        <is>
          <t>Elección de la persona titular de la Fiscalía General del Estado</t>
        </is>
      </c>
      <c r="H69" t="n">
        <v>14</v>
      </c>
      <c r="I69" t="inlineStr">
        <is>
          <t>Justicia y Estado de Derecho</t>
        </is>
      </c>
      <c r="J69" t="n">
        <v>34</v>
      </c>
      <c r="K69" t="n">
        <v>0</v>
      </c>
      <c r="L69" t="n">
        <v>4</v>
      </c>
      <c r="M69" t="n">
        <v>3</v>
      </c>
      <c r="N69">
        <f>SUM(J69:M69)</f>
        <v/>
      </c>
      <c r="O69" s="4">
        <f>SUM(J69:L69)/SUM(J69:M69)</f>
        <v/>
      </c>
      <c r="P69" s="5">
        <f>MAX(J69:L69)/SUM(J69:L69)</f>
        <v/>
      </c>
    </row>
    <row r="70">
      <c r="A70" t="inlineStr">
        <is>
          <t>Primer año</t>
        </is>
      </c>
      <c r="B70" t="inlineStr">
        <is>
          <t>Primer periodo</t>
        </is>
      </c>
      <c r="C70" t="n">
        <v>68</v>
      </c>
      <c r="D70" t="n">
        <v>68</v>
      </c>
      <c r="E70" s="3" t="n">
        <v>45666</v>
      </c>
      <c r="F70" t="inlineStr">
        <is>
          <t>Punto de Acuerdo</t>
        </is>
      </c>
      <c r="G70" t="inlineStr">
        <is>
          <t>Acuerdo por el cual llevar a cabo las sesiones en el salón de pleno de este recinto oficial</t>
        </is>
      </c>
      <c r="H70" t="n">
        <v>19</v>
      </c>
      <c r="I70" t="inlineStr">
        <is>
          <t>Internos del Congreso</t>
        </is>
      </c>
      <c r="J70" t="n">
        <v>9</v>
      </c>
      <c r="K70" t="n">
        <v>0</v>
      </c>
      <c r="L70" t="n">
        <v>0</v>
      </c>
      <c r="M70" t="n">
        <v>0</v>
      </c>
      <c r="N70">
        <f>SUM(J70:M70)</f>
        <v/>
      </c>
      <c r="O70" s="4">
        <f>SUM(J70:L70)/SUM(J70:M70)</f>
        <v/>
      </c>
      <c r="P70" s="5">
        <f>MAX(J70:L70)/SUM(J70:L70)</f>
        <v/>
      </c>
    </row>
    <row r="71">
      <c r="A71" t="inlineStr">
        <is>
          <t>Primer año</t>
        </is>
      </c>
      <c r="B71" t="inlineStr">
        <is>
          <t>Primer periodo</t>
        </is>
      </c>
      <c r="C71" t="n">
        <v>69</v>
      </c>
      <c r="D71" t="n">
        <v>69</v>
      </c>
      <c r="E71" s="3" t="n">
        <v>45666</v>
      </c>
      <c r="F71" t="inlineStr">
        <is>
          <t>Punto de Acuerdo</t>
        </is>
      </c>
      <c r="G71" t="inlineStr">
        <is>
          <t>Acuerdo por el cual dispensar la lectura del orden del día</t>
        </is>
      </c>
      <c r="H71" t="n">
        <v>19</v>
      </c>
      <c r="I71" t="inlineStr">
        <is>
          <t>Internos del Congreso</t>
        </is>
      </c>
      <c r="J71" t="n">
        <v>9</v>
      </c>
      <c r="K71" t="n">
        <v>0</v>
      </c>
      <c r="L71" t="n">
        <v>0</v>
      </c>
      <c r="M71" t="n">
        <v>0</v>
      </c>
      <c r="N71">
        <f>SUM(J71:M71)</f>
        <v/>
      </c>
      <c r="O71" s="4">
        <f>SUM(J71:L71)/SUM(J71:M71)</f>
        <v/>
      </c>
      <c r="P71" s="5">
        <f>MAX(J71:L71)/SUM(J71:L71)</f>
        <v/>
      </c>
    </row>
    <row r="72">
      <c r="A72" t="inlineStr">
        <is>
          <t>Primer año</t>
        </is>
      </c>
      <c r="B72" t="inlineStr">
        <is>
          <t>Primer periodo</t>
        </is>
      </c>
      <c r="C72" t="n">
        <v>70</v>
      </c>
      <c r="D72" t="n">
        <v>70</v>
      </c>
      <c r="E72" s="3" t="n">
        <v>45666</v>
      </c>
      <c r="F72" t="inlineStr">
        <is>
          <t>Punto de Acuerdo</t>
        </is>
      </c>
      <c r="G72" t="inlineStr">
        <is>
          <t>Acuerdo por el cual aprobar la dispensa de lectura del acta de la sesión anterior</t>
        </is>
      </c>
      <c r="H72" t="n">
        <v>19</v>
      </c>
      <c r="I72" t="inlineStr">
        <is>
          <t>Internos del Congreso</t>
        </is>
      </c>
      <c r="J72" t="n">
        <v>9</v>
      </c>
      <c r="K72" t="n">
        <v>0</v>
      </c>
      <c r="L72" t="n">
        <v>0</v>
      </c>
      <c r="M72" t="n">
        <v>0</v>
      </c>
      <c r="N72">
        <f>SUM(J72:M72)</f>
        <v/>
      </c>
      <c r="O72" s="4">
        <f>SUM(J72:L72)/SUM(J72:M72)</f>
        <v/>
      </c>
      <c r="P72" s="5">
        <f>MAX(J72:L72)/SUM(J72:L72)</f>
        <v/>
      </c>
    </row>
    <row r="73">
      <c r="A73" t="inlineStr">
        <is>
          <t>Primer año</t>
        </is>
      </c>
      <c r="B73" t="inlineStr">
        <is>
          <t>Primer periodo</t>
        </is>
      </c>
      <c r="C73" t="n">
        <v>71</v>
      </c>
      <c r="D73" t="n">
        <v>71</v>
      </c>
      <c r="E73" s="3" t="n">
        <v>45666</v>
      </c>
      <c r="F73" t="inlineStr">
        <is>
          <t>Punto de Acuerdo</t>
        </is>
      </c>
      <c r="G73" t="inlineStr">
        <is>
          <t>Acuerdo por el cual aprobar el contenido del acta de la sesión anterior</t>
        </is>
      </c>
      <c r="H73" t="n">
        <v>19</v>
      </c>
      <c r="I73" t="inlineStr">
        <is>
          <t>Internos del Congreso</t>
        </is>
      </c>
      <c r="J73" t="n">
        <v>9</v>
      </c>
      <c r="K73" t="n">
        <v>0</v>
      </c>
      <c r="L73" t="n">
        <v>0</v>
      </c>
      <c r="M73" t="n">
        <v>0</v>
      </c>
      <c r="N73">
        <f>SUM(J73:M73)</f>
        <v/>
      </c>
      <c r="O73" s="4">
        <f>SUM(J73:L73)/SUM(J73:M73)</f>
        <v/>
      </c>
      <c r="P73" s="5">
        <f>MAX(J73:L73)/SUM(J73:L73)</f>
        <v/>
      </c>
    </row>
    <row r="74">
      <c r="A74" t="inlineStr">
        <is>
          <t>Primer año</t>
        </is>
      </c>
      <c r="B74" t="inlineStr">
        <is>
          <t>Segundo periodo</t>
        </is>
      </c>
      <c r="C74" t="n">
        <v>1</v>
      </c>
      <c r="D74" t="n">
        <v>72</v>
      </c>
      <c r="E74" s="3" t="n">
        <v>45731</v>
      </c>
      <c r="F74" t="inlineStr">
        <is>
          <t>Punto de Acuerdo</t>
        </is>
      </c>
      <c r="G74" t="inlineStr">
        <is>
          <t>Acuerdo por el cual llevar a cabo las sesiones en el salón de plenos de este recinto legislativo</t>
        </is>
      </c>
      <c r="H74" t="n">
        <v>19</v>
      </c>
      <c r="I74" t="inlineStr">
        <is>
          <t>Internos del Congreso</t>
        </is>
      </c>
      <c r="J74" t="n">
        <v>7</v>
      </c>
      <c r="K74" t="n">
        <v>0</v>
      </c>
      <c r="L74" t="n">
        <v>0</v>
      </c>
      <c r="M74" t="n">
        <v>0</v>
      </c>
      <c r="N74">
        <f>SUM(J74:M74)</f>
        <v/>
      </c>
      <c r="O74" s="4">
        <f>SUM(J74:L74)/SUM(J74:M74)</f>
        <v/>
      </c>
      <c r="P74" s="5">
        <f>MAX(J74:L74)/SUM(J74:L74)</f>
        <v/>
      </c>
    </row>
    <row r="75">
      <c r="A75" t="inlineStr">
        <is>
          <t>Primer año</t>
        </is>
      </c>
      <c r="B75" t="inlineStr">
        <is>
          <t>Segundo periodo</t>
        </is>
      </c>
      <c r="C75" t="n">
        <v>2</v>
      </c>
      <c r="D75" t="n">
        <v>73</v>
      </c>
      <c r="E75" s="3" t="n">
        <v>45736</v>
      </c>
      <c r="F75" t="inlineStr">
        <is>
          <t>Punto de Acuerdo</t>
        </is>
      </c>
      <c r="G75" t="inlineStr">
        <is>
          <t>Acuerdo por el cual el acuerdo que presenta la comisión de transportes y movilidad de la sexagésima segunda legislatura del honorable congreso del estado, por el que se exhorta a la secretaría de movilidad y transporte del gobierno del estado, para que implemente campañas de sensibilización y refuerce los mecanismos para la prevención, atención, denuncia y sanción del acoso en el transporte público</t>
        </is>
      </c>
      <c r="H75" t="n">
        <v>11</v>
      </c>
      <c r="I75" t="inlineStr">
        <is>
          <t>Infraestructura, Movilidad y Transporte</t>
        </is>
      </c>
      <c r="J75" t="n">
        <v>8</v>
      </c>
      <c r="K75" t="n">
        <v>0</v>
      </c>
      <c r="L75" t="n">
        <v>0</v>
      </c>
      <c r="M75" t="n">
        <v>0</v>
      </c>
      <c r="N75">
        <f>SUM(J75:M75)</f>
        <v/>
      </c>
      <c r="O75" s="4">
        <f>SUM(J75:L75)/SUM(J75:M75)</f>
        <v/>
      </c>
      <c r="P75" s="5">
        <f>MAX(J75:L75)/SUM(J75:L75)</f>
        <v/>
      </c>
    </row>
    <row r="76">
      <c r="A76" t="inlineStr">
        <is>
          <t>Primer año</t>
        </is>
      </c>
      <c r="B76" t="inlineStr">
        <is>
          <t>Segundo periodo</t>
        </is>
      </c>
      <c r="C76" t="n">
        <v>3</v>
      </c>
      <c r="D76" t="n">
        <v>74</v>
      </c>
      <c r="E76" s="3" t="n">
        <v>45736</v>
      </c>
      <c r="F76" t="inlineStr">
        <is>
          <t>Punto de Acuerdo</t>
        </is>
      </c>
      <c r="G76" t="inlineStr">
        <is>
          <t>Acuerdo por el cual el acuerdo que presenta la comisión de atención a personas con discapacidad de la sexagésima segunda legislatura del honorable congreso del estado, por el que se exhorta a las personas titulares de las dependencias y entidades del poder ejecutivo estatal; al poder judicial, así como a los 213 ayuntamientos y los 4 concejos municipales del estado, para que en el marco del día mundial de concienciación sobre el autismo, a partir de este año y dentro del periodo del 2 al 9 de abril de cada año, iluminen sus edificios públicos de color azul y lleven a cabo acciones de sensibilización sobre esta condición, como muestra de respeto, apoyo, solidaridad e inclusión de las personas con autismo y sus familias</t>
        </is>
      </c>
      <c r="H76" t="n">
        <v>6</v>
      </c>
      <c r="I76" t="inlineStr">
        <is>
          <t>Salud</t>
        </is>
      </c>
      <c r="J76" t="n">
        <v>8</v>
      </c>
      <c r="K76" t="n">
        <v>0</v>
      </c>
      <c r="L76" t="n">
        <v>0</v>
      </c>
      <c r="M76" t="n">
        <v>0</v>
      </c>
      <c r="N76">
        <f>SUM(J76:M76)</f>
        <v/>
      </c>
      <c r="O76" s="4">
        <f>SUM(J76:L76)/SUM(J76:M76)</f>
        <v/>
      </c>
      <c r="P76" s="5">
        <f>MAX(J76:L76)/SUM(J76:L76)</f>
        <v/>
      </c>
    </row>
    <row r="77">
      <c r="A77" t="inlineStr">
        <is>
          <t>Primer año</t>
        </is>
      </c>
      <c r="B77" t="inlineStr">
        <is>
          <t>Segundo periodo</t>
        </is>
      </c>
      <c r="C77" t="n">
        <v>4</v>
      </c>
      <c r="D77" t="n">
        <v>75</v>
      </c>
      <c r="E77" s="3" t="n">
        <v>45740</v>
      </c>
      <c r="F77" t="inlineStr">
        <is>
          <t>Punto de Acuerdo</t>
        </is>
      </c>
      <c r="G77" t="inlineStr">
        <is>
          <t>Acuerdo por el cual se convoca a una sesión extraordinaria</t>
        </is>
      </c>
      <c r="H77" t="n">
        <v>18</v>
      </c>
      <c r="I77" t="inlineStr">
        <is>
          <t>Administración Pública</t>
        </is>
      </c>
      <c r="J77" t="n">
        <v>8</v>
      </c>
      <c r="K77" t="n">
        <v>0</v>
      </c>
      <c r="L77" t="n">
        <v>0</v>
      </c>
      <c r="M77" t="n">
        <v>0</v>
      </c>
      <c r="N77">
        <f>SUM(J77:M77)</f>
        <v/>
      </c>
      <c r="O77" s="4">
        <f>SUM(J77:L77)/SUM(J77:M77)</f>
        <v/>
      </c>
      <c r="P77" s="5">
        <f>MAX(J77:L77)/SUM(J77:L77)</f>
        <v/>
      </c>
    </row>
    <row r="78">
      <c r="A78" t="inlineStr">
        <is>
          <t>Primer año</t>
        </is>
      </c>
      <c r="B78" t="inlineStr">
        <is>
          <t>Segundo periodo</t>
        </is>
      </c>
      <c r="C78" t="n">
        <v>5</v>
      </c>
      <c r="D78" t="n">
        <v>76</v>
      </c>
      <c r="E78" s="3" t="n">
        <v>45741</v>
      </c>
      <c r="F78" t="inlineStr">
        <is>
          <t>Iniciativa</t>
        </is>
      </c>
      <c r="G78" t="inlineStr">
        <is>
          <t>Dictamen con minuta de decreto por el cual el dictamen con minuta de decreto que presenta la comisión de hacienda y patrimonio municipal de la sexagésima segunda legislatura del honorable congreso del estado, por el que se reforman las fracciones xxx y xxxi, y se adiciona la fracción xxxii al artículo 58 de la ley de ingresos del municipio de , para el ejercicio fiscal 2025</t>
        </is>
      </c>
      <c r="H78" t="n">
        <v>7</v>
      </c>
      <c r="I78" t="inlineStr">
        <is>
          <t>Impuestos, Finanzas Públicas, Patrimonio estatal y municipal</t>
        </is>
      </c>
      <c r="J78" t="n">
        <v>31</v>
      </c>
      <c r="K78" t="n">
        <v>5</v>
      </c>
      <c r="L78" t="n">
        <v>1</v>
      </c>
      <c r="M78" t="n">
        <v>4</v>
      </c>
      <c r="N78">
        <f>SUM(J78:M78)</f>
        <v/>
      </c>
      <c r="O78" s="4">
        <f>SUM(J78:L78)/SUM(J78:M78)</f>
        <v/>
      </c>
      <c r="P78" s="5">
        <f>MAX(J78:L78)/SUM(J78:L78)</f>
        <v/>
      </c>
    </row>
    <row r="79">
      <c r="A79" t="inlineStr">
        <is>
          <t>Primer año</t>
        </is>
      </c>
      <c r="B79" t="inlineStr">
        <is>
          <t>Segundo periodo</t>
        </is>
      </c>
      <c r="C79" t="n">
        <v>6</v>
      </c>
      <c r="D79" t="n">
        <v>77</v>
      </c>
      <c r="E79" s="3" t="n">
        <v>45741</v>
      </c>
      <c r="F79" t="inlineStr">
        <is>
          <t>Iniciativa</t>
        </is>
      </c>
      <c r="G79" t="inlineStr">
        <is>
          <t>Dictamen con minuta Proyecto de decreto que presenta el dictamen con minuta proyecto de decreto que presenta la comisión de gobernación y puntos constitucionales de la sexagésima segunda legislatura del honorable congreso del estado, por el que se reforman el párrafo décimo del artículo 25 y la fracción xxix-y del artículo 73 de la constitución política de los , en materia de simplificación administrativa y digitalización</t>
        </is>
      </c>
      <c r="H79" t="n">
        <v>18</v>
      </c>
      <c r="I79" t="inlineStr">
        <is>
          <t>Administración Pública</t>
        </is>
      </c>
      <c r="J79" t="n">
        <v>37</v>
      </c>
      <c r="K79" t="n">
        <v>0</v>
      </c>
      <c r="L79" t="n">
        <v>0</v>
      </c>
      <c r="M79" t="n">
        <v>4</v>
      </c>
      <c r="N79">
        <f>SUM(J79:M79)</f>
        <v/>
      </c>
      <c r="O79" s="4">
        <f>SUM(J79:L79)/SUM(J79:M79)</f>
        <v/>
      </c>
      <c r="P79" s="5">
        <f>MAX(J79:L79)/SUM(J79:L79)</f>
        <v/>
      </c>
    </row>
    <row r="80">
      <c r="A80" t="inlineStr">
        <is>
          <t>Primer año</t>
        </is>
      </c>
      <c r="B80" t="inlineStr">
        <is>
          <t>Segundo periodo</t>
        </is>
      </c>
      <c r="C80" t="n">
        <v>7</v>
      </c>
      <c r="D80" t="n">
        <v>78</v>
      </c>
      <c r="E80" s="3" t="n">
        <v>45750</v>
      </c>
      <c r="F80" t="inlineStr">
        <is>
          <t>Punto de Acuerdo</t>
        </is>
      </c>
      <c r="G80" t="inlineStr">
        <is>
          <t>Acuerdo por el que se exhorta a la secretaría de educación y a la secretaría de ciencia, humanidades, tecnología e innovación, ambas del gobierno del estado de , para que de manera coordinada y en el ámbito de sus atribuciones, verifiquen y, en su caso, promuevan que en la educación impartida en las escuelas públicas y privadas de la entidad se impulse la educación científica.</t>
        </is>
      </c>
      <c r="H80" t="n">
        <v>8</v>
      </c>
      <c r="I80" t="inlineStr">
        <is>
          <t>Educación y Cultura</t>
        </is>
      </c>
      <c r="J80" t="n">
        <v>9</v>
      </c>
      <c r="K80" t="n">
        <v>0</v>
      </c>
      <c r="L80" t="n">
        <v>0</v>
      </c>
      <c r="M80" t="n">
        <v>0</v>
      </c>
      <c r="N80">
        <f>SUM(J80:M80)</f>
        <v/>
      </c>
      <c r="O80" s="4">
        <f>SUM(J80:L80)/SUM(J80:M80)</f>
        <v/>
      </c>
      <c r="P80" s="5">
        <f>MAX(J80:L80)/SUM(J80:L80)</f>
        <v/>
      </c>
    </row>
    <row r="81">
      <c r="A81" t="inlineStr">
        <is>
          <t>Primer año</t>
        </is>
      </c>
      <c r="B81" t="inlineStr">
        <is>
          <t>Segundo periodo</t>
        </is>
      </c>
      <c r="C81" t="n">
        <v>8</v>
      </c>
      <c r="D81" t="n">
        <v>79</v>
      </c>
      <c r="E81" s="3" t="n">
        <v>45750</v>
      </c>
      <c r="F81" t="inlineStr">
        <is>
          <t>Punto de Acuerdo</t>
        </is>
      </c>
      <c r="G81" t="inlineStr">
        <is>
          <t>Acuerdo por el que se exhorta a los doscientos trece ayuntamientos y a los cuatro concejos municipales del estado de , para que respeten y garanticen los derechos laborales de las personas servidoras públicas municipales durante el periodo de su administración, incluyendo a las personas integrantes de las juntas auxiliares que prestan algún servicio en sus respectivos centros de población y, en su caso, aprobación</t>
        </is>
      </c>
      <c r="H81" t="n">
        <v>16</v>
      </c>
      <c r="I81" t="inlineStr">
        <is>
          <t>Trabajo y Previsión Social</t>
        </is>
      </c>
      <c r="J81" t="n">
        <v>9</v>
      </c>
      <c r="K81" t="n">
        <v>0</v>
      </c>
      <c r="L81" t="n">
        <v>0</v>
      </c>
      <c r="M81" t="n">
        <v>0</v>
      </c>
      <c r="N81">
        <f>SUM(J81:M81)</f>
        <v/>
      </c>
      <c r="O81" s="4">
        <f>SUM(J81:L81)/SUM(J81:M81)</f>
        <v/>
      </c>
      <c r="P81" s="5">
        <f>MAX(J81:L81)/SUM(J81:L81)</f>
        <v/>
      </c>
    </row>
    <row r="82">
      <c r="A82" t="inlineStr">
        <is>
          <t>Primer año</t>
        </is>
      </c>
      <c r="B82" t="inlineStr">
        <is>
          <t>Segundo periodo</t>
        </is>
      </c>
      <c r="C82" t="n">
        <v>9</v>
      </c>
      <c r="D82" t="n">
        <v>80</v>
      </c>
      <c r="E82" s="3" t="n">
        <v>45754</v>
      </c>
      <c r="F82" t="inlineStr">
        <is>
          <t>Punto de Acuerdo</t>
        </is>
      </c>
      <c r="G82" t="inlineStr">
        <is>
          <t>Acuerdo por el que se convoca a una sesión extraordinaria</t>
        </is>
      </c>
      <c r="H82" t="n">
        <v>19</v>
      </c>
      <c r="I82" t="inlineStr">
        <is>
          <t>Internos del Congreso</t>
        </is>
      </c>
      <c r="J82" t="n">
        <v>9</v>
      </c>
      <c r="K82" t="n">
        <v>0</v>
      </c>
      <c r="L82" t="n">
        <v>0</v>
      </c>
      <c r="M82" t="n">
        <v>0</v>
      </c>
      <c r="N82">
        <f>SUM(J82:M82)</f>
        <v/>
      </c>
      <c r="O82" s="4">
        <f>SUM(J82:L82)/SUM(J82:M82)</f>
        <v/>
      </c>
      <c r="P82" s="5">
        <f>MAX(J82:L82)/SUM(J82:L82)</f>
        <v/>
      </c>
    </row>
    <row r="83">
      <c r="A83" t="inlineStr">
        <is>
          <t>Primer año</t>
        </is>
      </c>
      <c r="B83" t="inlineStr">
        <is>
          <t>Segundo periodo</t>
        </is>
      </c>
      <c r="C83" t="n">
        <v>10</v>
      </c>
      <c r="D83" t="n">
        <v>81</v>
      </c>
      <c r="E83" s="3" t="n">
        <v>45754</v>
      </c>
      <c r="F83" t="inlineStr">
        <is>
          <t>Iniciativa</t>
        </is>
      </c>
      <c r="G83" t="inlineStr">
        <is>
          <t>Dictamen con minuta de decreto que presenta el dictamen con minuta de decreto por el que se revoca el mandato del presidente municipal, las regidoras y los regidores y de la síndica municipal, y se declara la desaparición del ayuntamiento de Chalchicomula de Sesma</t>
        </is>
      </c>
      <c r="H83" t="n">
        <v>18</v>
      </c>
      <c r="I83" t="inlineStr">
        <is>
          <t>Administración Pública</t>
        </is>
      </c>
      <c r="J83" t="n">
        <v>37</v>
      </c>
      <c r="K83" t="n">
        <v>0</v>
      </c>
      <c r="L83" t="n">
        <v>0</v>
      </c>
      <c r="M83" t="n">
        <v>4</v>
      </c>
      <c r="N83">
        <f>SUM(J83:M83)</f>
        <v/>
      </c>
      <c r="O83" s="4">
        <f>SUM(J83:L83)/SUM(J83:M83)</f>
        <v/>
      </c>
      <c r="P83" s="5">
        <f>MAX(J83:L83)/SUM(J83:L83)</f>
        <v/>
      </c>
    </row>
    <row r="84">
      <c r="A84" t="inlineStr">
        <is>
          <t>Primer año</t>
        </is>
      </c>
      <c r="B84" t="inlineStr">
        <is>
          <t>Segundo periodo</t>
        </is>
      </c>
      <c r="C84" t="n">
        <v>11</v>
      </c>
      <c r="D84" t="n">
        <v>82</v>
      </c>
      <c r="E84" s="3" t="n">
        <v>45757</v>
      </c>
      <c r="F84" t="inlineStr">
        <is>
          <t>Punto de Acuerdo</t>
        </is>
      </c>
      <c r="G84" t="inlineStr">
        <is>
          <t>Acuerdo por el cual el acuerdo que presenta la comisión de cultura, por el que se exhorta a la secretaría de arte y cultura del estado</t>
        </is>
      </c>
      <c r="H84" t="n">
        <v>8</v>
      </c>
      <c r="I84" t="inlineStr">
        <is>
          <t>Educación y Cultura</t>
        </is>
      </c>
      <c r="J84" t="n">
        <v>7</v>
      </c>
      <c r="K84" t="n">
        <v>0</v>
      </c>
      <c r="L84" t="n">
        <v>0</v>
      </c>
      <c r="M84" t="n">
        <v>0</v>
      </c>
      <c r="N84">
        <f>SUM(J84:M84)</f>
        <v/>
      </c>
      <c r="O84" s="4">
        <f>SUM(J84:L84)/SUM(J84:M84)</f>
        <v/>
      </c>
      <c r="P84" s="5">
        <f>MAX(J84:L84)/SUM(J84:L84)</f>
        <v/>
      </c>
    </row>
    <row r="85">
      <c r="A85" t="inlineStr">
        <is>
          <t>Primer año</t>
        </is>
      </c>
      <c r="B85" t="inlineStr">
        <is>
          <t>Segundo periodo</t>
        </is>
      </c>
      <c r="C85" t="n">
        <v>12</v>
      </c>
      <c r="D85" t="n">
        <v>83</v>
      </c>
      <c r="E85" s="3" t="n">
        <v>45771</v>
      </c>
      <c r="F85" t="inlineStr">
        <is>
          <t>Punto de Acuerdo</t>
        </is>
      </c>
      <c r="G85" t="inlineStr">
        <is>
          <t>Acuerdo por el que se exhorta a los diecinueve ayuntamientos de la zona metropolitana del estado para que en el ámbito de sus atribuciones y en coordinación con las autoridades competentes supervisen e inspeccionen bares, cantinas, hoteles de paso, centros nocturnos, agencias de modelaje o artísticas, salas de masajes, cines y baños públicos, para detectar, prevenir y denunciar en su caso la comisión de delitos dentro de los mismos, en particular el de trata de personas</t>
        </is>
      </c>
      <c r="H85" t="n">
        <v>3</v>
      </c>
      <c r="I85" t="inlineStr">
        <is>
          <t>Seguridad Pública, Protección Civil y Narcotráfico</t>
        </is>
      </c>
      <c r="J85" t="n">
        <v>9</v>
      </c>
      <c r="K85" t="n">
        <v>0</v>
      </c>
      <c r="L85" t="n">
        <v>0</v>
      </c>
      <c r="M85" t="n">
        <v>0</v>
      </c>
      <c r="N85">
        <f>SUM(J85:M85)</f>
        <v/>
      </c>
      <c r="O85" s="4">
        <f>SUM(J85:L85)/SUM(J85:M85)</f>
        <v/>
      </c>
      <c r="P85" s="5">
        <f>MAX(J85:L85)/SUM(J85:L85)</f>
        <v/>
      </c>
    </row>
    <row r="86">
      <c r="A86" t="inlineStr">
        <is>
          <t>Primer año</t>
        </is>
      </c>
      <c r="B86" t="inlineStr">
        <is>
          <t>Segundo periodo</t>
        </is>
      </c>
      <c r="C86" t="n">
        <v>13</v>
      </c>
      <c r="D86" t="n">
        <v>84</v>
      </c>
      <c r="E86" s="3" t="n">
        <v>45771</v>
      </c>
      <c r="F86" t="inlineStr">
        <is>
          <t>Punto de Acuerdo</t>
        </is>
      </c>
      <c r="G86" t="inlineStr">
        <is>
          <t>Acuerdo por el que se exhorta a los diecinueve ayuntamientos de la zona metropolitana del estado para que, de manera coordinada y de considerarlo, acuerden la creación y funcionamiento de un observatorio metropolitano de seguridad pública y combate a la violencia social, a fin de impulsar un programa piloto en materia de estrategias de seguridad, monitoreo de delitos y capacitación a las policías, que incluya la implementación de una campaña de concientización empresarial, académica y ciudadana para dichos efectos</t>
        </is>
      </c>
      <c r="H86" t="n">
        <v>3</v>
      </c>
      <c r="I86" t="inlineStr">
        <is>
          <t>Seguridad Pública, Protección Civil y Narcotráfico</t>
        </is>
      </c>
      <c r="J86" t="n">
        <v>9</v>
      </c>
      <c r="K86" t="n">
        <v>0</v>
      </c>
      <c r="L86" t="n">
        <v>0</v>
      </c>
      <c r="M86" t="n">
        <v>0</v>
      </c>
      <c r="N86">
        <f>SUM(J86:M86)</f>
        <v/>
      </c>
      <c r="O86" s="4">
        <f>SUM(J86:L86)/SUM(J86:M86)</f>
        <v/>
      </c>
      <c r="P86" s="5">
        <f>MAX(J86:L86)/SUM(J86:L86)</f>
        <v/>
      </c>
    </row>
    <row r="87">
      <c r="A87" t="inlineStr">
        <is>
          <t>Primer año</t>
        </is>
      </c>
      <c r="B87" t="inlineStr">
        <is>
          <t>Segundo periodo</t>
        </is>
      </c>
      <c r="C87" t="n">
        <v>14</v>
      </c>
      <c r="D87" t="n">
        <v>85</v>
      </c>
      <c r="E87" s="3" t="n">
        <v>45771</v>
      </c>
      <c r="F87" t="inlineStr">
        <is>
          <t>Punto de Acuerdo</t>
        </is>
      </c>
      <c r="G87" t="inlineStr">
        <is>
          <t>Acuerdo por el que se exhorta de manera respetuosa a la delegación del instituto del fondo nacional de vivienda para los trabajadores (infonavit), para que en el ámbito de su competencia, implemente ferias, campañas, eventos y/o jornadas ciudadanas en los doscientos diecisiete municipios del estado, con la finalidad de promover y dar a conocer a la ciudadanía los programas, beneficios, trámites y demás acciones a cargo del instituto en favor de la ciudadanía, tomando en consideración para la realización de dichos eventos, el uso de formatos accesibles para personas que cuenten con algún tipo de discapacidad</t>
        </is>
      </c>
      <c r="H87" t="n">
        <v>2</v>
      </c>
      <c r="I87" t="inlineStr">
        <is>
          <t>Pobreza y Política Social</t>
        </is>
      </c>
      <c r="J87" t="n">
        <v>9</v>
      </c>
      <c r="K87" t="n">
        <v>0</v>
      </c>
      <c r="L87" t="n">
        <v>0</v>
      </c>
      <c r="M87" t="n">
        <v>0</v>
      </c>
      <c r="N87">
        <f>SUM(J87:M87)</f>
        <v/>
      </c>
      <c r="O87" s="4">
        <f>SUM(J87:L87)/SUM(J87:M87)</f>
        <v/>
      </c>
      <c r="P87" s="5">
        <f>MAX(J87:L87)/SUM(J87:L87)</f>
        <v/>
      </c>
    </row>
    <row r="88">
      <c r="A88" t="inlineStr">
        <is>
          <t>Primer año</t>
        </is>
      </c>
      <c r="B88" t="inlineStr">
        <is>
          <t>Segundo periodo</t>
        </is>
      </c>
      <c r="C88" t="n">
        <v>15</v>
      </c>
      <c r="D88" t="n">
        <v>86</v>
      </c>
      <c r="E88" s="3" t="n">
        <v>45777</v>
      </c>
      <c r="F88" t="inlineStr">
        <is>
          <t>Punto de Acuerdo</t>
        </is>
      </c>
      <c r="G88" t="inlineStr">
        <is>
          <t>Acuerdo por el cual la aprobación del acuerdo por el que se autoriza la enajenación de chatarra metálica inservible propiedad municipal</t>
        </is>
      </c>
      <c r="H88" t="n">
        <v>7</v>
      </c>
      <c r="I88" t="inlineStr">
        <is>
          <t>Impuestos, Finanzas Públicas, Patrimonio estatal y municipal</t>
        </is>
      </c>
      <c r="J88" t="n">
        <v>8</v>
      </c>
      <c r="K88" t="n">
        <v>0</v>
      </c>
      <c r="L88" t="n">
        <v>0</v>
      </c>
      <c r="M88" t="n">
        <v>0</v>
      </c>
      <c r="N88">
        <f>SUM(J88:M88)</f>
        <v/>
      </c>
      <c r="O88" s="4">
        <f>SUM(J88:L88)/SUM(J88:M88)</f>
        <v/>
      </c>
      <c r="P88" s="5">
        <f>MAX(J88:L88)/SUM(J88:L88)</f>
        <v/>
      </c>
    </row>
    <row r="89">
      <c r="A89" t="inlineStr">
        <is>
          <t>Primer año</t>
        </is>
      </c>
      <c r="B89" t="inlineStr">
        <is>
          <t>Segundo periodo</t>
        </is>
      </c>
      <c r="C89" t="n">
        <v>16</v>
      </c>
      <c r="D89" t="n">
        <v>87</v>
      </c>
      <c r="E89" s="3" t="n">
        <v>45777</v>
      </c>
      <c r="F89" t="inlineStr">
        <is>
          <t>Punto de Acuerdo</t>
        </is>
      </c>
      <c r="G89" t="inlineStr">
        <is>
          <t>Acuerdo por el que se exhorta a los doscientos doce ayuntamientos y cinco concejos municipales del estado, lleven a cabo acciones con el propósito de proteger la salud, la prevención y controlar la contaminación ambiental</t>
        </is>
      </c>
      <c r="H89" t="n">
        <v>5</v>
      </c>
      <c r="I89" t="inlineStr">
        <is>
          <t>Medio Ambiente</t>
        </is>
      </c>
      <c r="J89" t="n">
        <v>8</v>
      </c>
      <c r="K89" t="n">
        <v>0</v>
      </c>
      <c r="L89" t="n">
        <v>0</v>
      </c>
      <c r="M89" t="n">
        <v>0</v>
      </c>
      <c r="N89">
        <f>SUM(J89:M89)</f>
        <v/>
      </c>
      <c r="O89" s="4">
        <f>SUM(J89:L89)/SUM(J89:M89)</f>
        <v/>
      </c>
      <c r="P89" s="5">
        <f>MAX(J89:L89)/SUM(J89:L89)</f>
        <v/>
      </c>
    </row>
    <row r="90">
      <c r="A90" t="inlineStr">
        <is>
          <t>Primer año</t>
        </is>
      </c>
      <c r="B90" t="inlineStr">
        <is>
          <t>Segundo periodo</t>
        </is>
      </c>
      <c r="C90" t="n">
        <v>17</v>
      </c>
      <c r="D90" t="n">
        <v>88</v>
      </c>
      <c r="E90" s="3" t="n">
        <v>45777</v>
      </c>
      <c r="F90" t="inlineStr">
        <is>
          <t>Punto de Acuerdo</t>
        </is>
      </c>
      <c r="G90" t="inlineStr">
        <is>
          <t>Acuerdo por el que se exhorta a los doscientos doce ayuntamientos y a los cinco concejos municipales del estado, para que, con respeto a los usos y costumbres de cada comunidad, promuevan que los comités de agua potable existentes en la entidad implementen y cumplan lineamientos de rendición de cuentas</t>
        </is>
      </c>
      <c r="H90" t="n">
        <v>10</v>
      </c>
      <c r="I90" t="inlineStr">
        <is>
          <t>Transparencia y Rendición de Cuentas</t>
        </is>
      </c>
      <c r="J90" t="n">
        <v>8</v>
      </c>
      <c r="K90" t="n">
        <v>0</v>
      </c>
      <c r="L90" t="n">
        <v>0</v>
      </c>
      <c r="M90" t="n">
        <v>0</v>
      </c>
      <c r="N90">
        <f>SUM(J90:M90)</f>
        <v/>
      </c>
      <c r="O90" s="4">
        <f>SUM(J90:L90)/SUM(J90:M90)</f>
        <v/>
      </c>
      <c r="P90" s="5">
        <f>MAX(J90:L90)/SUM(J90:L90)</f>
        <v/>
      </c>
    </row>
    <row r="91">
      <c r="A91" t="inlineStr">
        <is>
          <t>Primer año</t>
        </is>
      </c>
      <c r="B91" t="inlineStr">
        <is>
          <t>Segundo periodo</t>
        </is>
      </c>
      <c r="C91" t="n">
        <v>18</v>
      </c>
      <c r="D91" t="n">
        <v>89</v>
      </c>
      <c r="E91" s="3" t="n">
        <v>45777</v>
      </c>
      <c r="F91" t="inlineStr">
        <is>
          <t>Punto de Acuerdo</t>
        </is>
      </c>
      <c r="G91" t="inlineStr">
        <is>
          <t>Acuerdo por el que se exhorta a los doscientos doce ayuntamientos y a los cinco concejos municipales del estado, para que formulen y aprueben sus programas municipales de turismo</t>
        </is>
      </c>
      <c r="H91" t="n">
        <v>1</v>
      </c>
      <c r="I91" t="inlineStr">
        <is>
          <t>Economía, Comercio y Competitividad</t>
        </is>
      </c>
      <c r="J91" t="n">
        <v>8</v>
      </c>
      <c r="K91" t="n">
        <v>0</v>
      </c>
      <c r="L91" t="n">
        <v>0</v>
      </c>
      <c r="M91" t="n">
        <v>0</v>
      </c>
      <c r="N91">
        <f>SUM(J91:M91)</f>
        <v/>
      </c>
      <c r="O91" s="4">
        <f>SUM(J91:L91)/SUM(J91:M91)</f>
        <v/>
      </c>
      <c r="P91" s="5">
        <f>MAX(J91:L91)/SUM(J91:L91)</f>
        <v/>
      </c>
    </row>
    <row r="92">
      <c r="A92" t="inlineStr">
        <is>
          <t>Primer año</t>
        </is>
      </c>
      <c r="B92" t="inlineStr">
        <is>
          <t>Segundo periodo</t>
        </is>
      </c>
      <c r="C92" t="n">
        <v>19</v>
      </c>
      <c r="D92" t="n">
        <v>90</v>
      </c>
      <c r="E92" s="3" t="n">
        <v>45777</v>
      </c>
      <c r="F92" t="inlineStr">
        <is>
          <t>Punto de Acuerdo</t>
        </is>
      </c>
      <c r="G92" t="inlineStr">
        <is>
          <t>Acuerdo por el que se exhorta a los doscientos doce ayuntamientos y cinco concejos municipales del estado, para que revisen, organicen y cumplan con la adecuada recolección, transporte y disposición de residuos sólidos urbanos</t>
        </is>
      </c>
      <c r="H92" t="n">
        <v>5</v>
      </c>
      <c r="I92" t="inlineStr">
        <is>
          <t>Medio Ambiente</t>
        </is>
      </c>
      <c r="J92" t="n">
        <v>8</v>
      </c>
      <c r="K92" t="n">
        <v>0</v>
      </c>
      <c r="L92" t="n">
        <v>0</v>
      </c>
      <c r="M92" t="n">
        <v>0</v>
      </c>
      <c r="N92">
        <f>SUM(J92:M92)</f>
        <v/>
      </c>
      <c r="O92" s="4">
        <f>SUM(J92:L92)/SUM(J92:M92)</f>
        <v/>
      </c>
      <c r="P92" s="5">
        <f>MAX(J92:L92)/SUM(J92:L92)</f>
        <v/>
      </c>
    </row>
    <row r="93">
      <c r="A93" t="inlineStr">
        <is>
          <t>Primer año</t>
        </is>
      </c>
      <c r="B93" t="inlineStr">
        <is>
          <t>Segundo periodo</t>
        </is>
      </c>
      <c r="C93" t="n">
        <v>20</v>
      </c>
      <c r="D93" t="n">
        <v>91</v>
      </c>
      <c r="E93" s="3" t="n">
        <v>45777</v>
      </c>
      <c r="F93" t="inlineStr">
        <is>
          <t>Punto de Acuerdo</t>
        </is>
      </c>
      <c r="G93" t="inlineStr">
        <is>
          <t>Acuerdo por el que se exhorta a los doscientos doce ayuntamientos y a los cinco concejos municipales del estado para que, en el ámbito de su competencia actúen y den seguimiento a las denuncias por violencia de género</t>
        </is>
      </c>
      <c r="H93" t="n">
        <v>20</v>
      </c>
      <c r="I93" t="inlineStr">
        <is>
          <t>Justicia y Estado de Derecho en temas de Mujeres</t>
        </is>
      </c>
      <c r="J93" t="n">
        <v>8</v>
      </c>
      <c r="K93" t="n">
        <v>0</v>
      </c>
      <c r="L93" t="n">
        <v>0</v>
      </c>
      <c r="M93" t="n">
        <v>0</v>
      </c>
      <c r="N93">
        <f>SUM(J93:M93)</f>
        <v/>
      </c>
      <c r="O93" s="4">
        <f>SUM(J93:L93)/SUM(J93:M93)</f>
        <v/>
      </c>
      <c r="P93" s="5">
        <f>MAX(J93:L93)/SUM(J93:L93)</f>
        <v/>
      </c>
    </row>
    <row r="94">
      <c r="A94" t="inlineStr">
        <is>
          <t>Primer año</t>
        </is>
      </c>
      <c r="B94" t="inlineStr">
        <is>
          <t>Segundo periodo</t>
        </is>
      </c>
      <c r="C94" t="n">
        <v>21</v>
      </c>
      <c r="D94" t="n">
        <v>92</v>
      </c>
      <c r="E94" s="3" t="n">
        <v>45777</v>
      </c>
      <c r="F94" t="inlineStr">
        <is>
          <t>Punto de Acuerdo</t>
        </is>
      </c>
      <c r="G94" t="inlineStr">
        <is>
          <t>Acuerdo por el que se exhorta a los doscientos doce ayuntamientos y a los cinco concejos municipales del estado, para que en el ámbito de sus atribuciones convoquen e instalen sus consejos de participación ciudadana</t>
        </is>
      </c>
      <c r="H94" t="n">
        <v>18</v>
      </c>
      <c r="I94" t="inlineStr">
        <is>
          <t>Administración Pública</t>
        </is>
      </c>
      <c r="J94" t="n">
        <v>8</v>
      </c>
      <c r="K94" t="n">
        <v>0</v>
      </c>
      <c r="L94" t="n">
        <v>0</v>
      </c>
      <c r="M94" t="n">
        <v>0</v>
      </c>
      <c r="N94">
        <f>SUM(J94:M94)</f>
        <v/>
      </c>
      <c r="O94" s="4">
        <f>SUM(J94:L94)/SUM(J94:M94)</f>
        <v/>
      </c>
      <c r="P94" s="5">
        <f>MAX(J94:L94)/SUM(J94:L94)</f>
        <v/>
      </c>
    </row>
    <row r="95">
      <c r="A95" t="inlineStr">
        <is>
          <t>Primer año</t>
        </is>
      </c>
      <c r="B95" t="inlineStr">
        <is>
          <t>Segundo periodo</t>
        </is>
      </c>
      <c r="C95" t="n">
        <v>22</v>
      </c>
      <c r="D95" t="n">
        <v>93</v>
      </c>
      <c r="E95" s="3" t="n">
        <v>45777</v>
      </c>
      <c r="F95" t="inlineStr">
        <is>
          <t>Punto de Acuerdo</t>
        </is>
      </c>
      <c r="G95" t="inlineStr">
        <is>
          <t>Acuerdo por el que se exhorta a los doscientos doce ayuntamientos y a los cinco concejos municipales del estado, para que implementen acciones orientadas a promover la cultura de respeto, adopción, trato adecuado y libre de violencia de los animales</t>
        </is>
      </c>
      <c r="H95" t="n">
        <v>5</v>
      </c>
      <c r="I95" t="inlineStr">
        <is>
          <t>Medio Ambiente</t>
        </is>
      </c>
      <c r="J95" t="n">
        <v>9</v>
      </c>
      <c r="K95" t="n">
        <v>0</v>
      </c>
      <c r="L95" t="n">
        <v>0</v>
      </c>
      <c r="M95" t="n">
        <v>0</v>
      </c>
      <c r="N95">
        <f>SUM(J95:M95)</f>
        <v/>
      </c>
      <c r="O95" s="4">
        <f>SUM(J95:L95)/SUM(J95:M95)</f>
        <v/>
      </c>
      <c r="P95" s="5">
        <f>MAX(J95:L95)/SUM(J95:L95)</f>
        <v/>
      </c>
    </row>
    <row r="96">
      <c r="A96" t="inlineStr">
        <is>
          <t>Primer año</t>
        </is>
      </c>
      <c r="B96" t="inlineStr">
        <is>
          <t>Segundo periodo</t>
        </is>
      </c>
      <c r="C96" t="n">
        <v>23</v>
      </c>
      <c r="D96" t="n">
        <v>94</v>
      </c>
      <c r="E96" s="3" t="n">
        <v>45777</v>
      </c>
      <c r="F96" t="inlineStr">
        <is>
          <t>Punto de Acuerdo</t>
        </is>
      </c>
      <c r="G96" t="inlineStr">
        <is>
          <t>Acuerdo por el que se exhorta a la secretaría de movilidad y transporte del gobierno del estado, para que en coordinación con los doscientos doce ayuntamientos y los cinco concejos municipales de la entidad, implementen programas y campañas de cultura de civilidad vial</t>
        </is>
      </c>
      <c r="H96" t="n">
        <v>11</v>
      </c>
      <c r="I96" t="inlineStr">
        <is>
          <t>Infraestructura, Movilidad y Transporte</t>
        </is>
      </c>
      <c r="J96" t="n">
        <v>9</v>
      </c>
      <c r="K96" t="n">
        <v>0</v>
      </c>
      <c r="L96" t="n">
        <v>0</v>
      </c>
      <c r="M96" t="n">
        <v>0</v>
      </c>
      <c r="N96">
        <f>SUM(J96:M96)</f>
        <v/>
      </c>
      <c r="O96" s="4">
        <f>SUM(J96:L96)/SUM(J96:M96)</f>
        <v/>
      </c>
      <c r="P96" s="5">
        <f>MAX(J96:L96)/SUM(J96:L96)</f>
        <v/>
      </c>
    </row>
    <row r="97">
      <c r="A97" t="inlineStr">
        <is>
          <t>Primer año</t>
        </is>
      </c>
      <c r="B97" t="inlineStr">
        <is>
          <t>Segundo periodo</t>
        </is>
      </c>
      <c r="C97" t="n">
        <v>24</v>
      </c>
      <c r="D97" t="n">
        <v>95</v>
      </c>
      <c r="E97" s="3" t="n">
        <v>45785</v>
      </c>
      <c r="F97" t="inlineStr">
        <is>
          <t>Punto de Acuerdo</t>
        </is>
      </c>
      <c r="G97" t="inlineStr">
        <is>
          <t>Acuerdo por el cual el contenido del punto de acuerdo</t>
        </is>
      </c>
      <c r="H97" t="n">
        <v>18</v>
      </c>
      <c r="I97" t="inlineStr">
        <is>
          <t>Administración Pública</t>
        </is>
      </c>
      <c r="J97" t="n">
        <v>7</v>
      </c>
      <c r="K97" t="n">
        <v>0</v>
      </c>
      <c r="L97" t="n">
        <v>0</v>
      </c>
      <c r="M97" t="n">
        <v>0</v>
      </c>
      <c r="N97">
        <f>SUM(J97:M97)</f>
        <v/>
      </c>
      <c r="O97" s="4">
        <f>SUM(J97:L97)/SUM(J97:M97)</f>
        <v/>
      </c>
      <c r="P97" s="5">
        <f>MAX(J97:L97)/SUM(J97:L97)</f>
        <v/>
      </c>
    </row>
    <row r="98">
      <c r="A98" t="inlineStr">
        <is>
          <t>Primer año</t>
        </is>
      </c>
      <c r="B98" t="inlineStr">
        <is>
          <t>Segundo periodo</t>
        </is>
      </c>
      <c r="C98" t="n">
        <v>25</v>
      </c>
      <c r="D98" t="n">
        <v>96</v>
      </c>
      <c r="E98" s="3" t="n">
        <v>45785</v>
      </c>
      <c r="F98" t="inlineStr">
        <is>
          <t>Punto de Acuerdo</t>
        </is>
      </c>
      <c r="G98" t="inlineStr">
        <is>
          <t>Acuerdo por el que se exhorta a la Fiscalía General del Estado, a la Secretaría de Seguridad Pública y a los doscientos doce ayuntamientos y cinco concejos municipales del estado de , para que de manera coordinada y en el ámbito de su competencia, implementen acciones para informar a las y los poblanos sobre las medidas preventivas que deben considerar para evitar fraudes y la comisión de otros delitos, relacionados con la supuesta exhibición y/o compraventa de vehículos, así como a difundir los canales de denuncia disponibles en caso de que se presenten estas conductas ilícitas y, en su caso, aprobación</t>
        </is>
      </c>
      <c r="H98" t="n">
        <v>3</v>
      </c>
      <c r="I98" t="inlineStr">
        <is>
          <t>Seguridad Pública, Protección Civil y Narcotráfico</t>
        </is>
      </c>
      <c r="J98" t="n">
        <v>7</v>
      </c>
      <c r="K98" t="n">
        <v>0</v>
      </c>
      <c r="L98" t="n">
        <v>0</v>
      </c>
      <c r="M98" t="n">
        <v>0</v>
      </c>
      <c r="N98">
        <f>SUM(J98:M98)</f>
        <v/>
      </c>
      <c r="O98" s="4">
        <f>SUM(J98:L98)/SUM(J98:M98)</f>
        <v/>
      </c>
      <c r="P98" s="5">
        <f>MAX(J98:L98)/SUM(J98:L98)</f>
        <v/>
      </c>
    </row>
    <row r="99">
      <c r="A99" t="inlineStr">
        <is>
          <t>Primer año</t>
        </is>
      </c>
      <c r="B99" t="inlineStr">
        <is>
          <t>Segundo periodo</t>
        </is>
      </c>
      <c r="C99" t="n">
        <v>26</v>
      </c>
      <c r="D99" t="n">
        <v>97</v>
      </c>
      <c r="E99" s="3" t="n">
        <v>45785</v>
      </c>
      <c r="F99" t="inlineStr">
        <is>
          <t>Punto de Acuerdo</t>
        </is>
      </c>
      <c r="G99" t="inlineStr">
        <is>
          <t>Acuerdo por el que se exhorta a la Secretaría de Salud del estado de , para que informe a todas las mujeres embarazadas acerca de los beneficios y el manejo de la l ncia, asimismo, realice acciones en favor de la l ncia materna con el propósito de que las instituciones prestadoras de servicios de salud cumplan con los “diez pasos para una l ncia exitosa”, a que se refiere el artículo 20 de la ley para la protección, apoyo y promoción de la l ncia materna para el estado de y, en su caso, aprobación</t>
        </is>
      </c>
      <c r="H99" t="n">
        <v>6</v>
      </c>
      <c r="I99" t="inlineStr">
        <is>
          <t>Salud</t>
        </is>
      </c>
      <c r="J99" t="n">
        <v>7</v>
      </c>
      <c r="K99" t="n">
        <v>0</v>
      </c>
      <c r="L99" t="n">
        <v>0</v>
      </c>
      <c r="M99" t="n">
        <v>0</v>
      </c>
      <c r="N99">
        <f>SUM(J99:M99)</f>
        <v/>
      </c>
      <c r="O99" s="4">
        <f>SUM(J99:L99)/SUM(J99:M99)</f>
        <v/>
      </c>
      <c r="P99" s="5">
        <f>MAX(J99:L99)/SUM(J99:L99)</f>
        <v/>
      </c>
    </row>
    <row r="100">
      <c r="A100" t="inlineStr">
        <is>
          <t>Primer año</t>
        </is>
      </c>
      <c r="B100" t="inlineStr">
        <is>
          <t>Segundo periodo</t>
        </is>
      </c>
      <c r="C100" t="n">
        <v>27</v>
      </c>
      <c r="D100" t="n">
        <v>98</v>
      </c>
      <c r="E100" s="3" t="n">
        <v>45785</v>
      </c>
      <c r="F100" t="inlineStr">
        <is>
          <t>Punto de Acuerdo</t>
        </is>
      </c>
      <c r="G100" t="inlineStr">
        <is>
          <t>Acuerdo por el que se exhorta a la Secretaría de Educación del estado a incorporar e implementar en los centros de educación inicial y preescolar, acciones de activación física específicas para la primera infancia, promoviendo la participación activa de docentes, madres, padres y tutores, entre otro resolutivo y, en su caso, aprobación</t>
        </is>
      </c>
      <c r="H100" t="n">
        <v>8</v>
      </c>
      <c r="I100" t="inlineStr">
        <is>
          <t>Educación y Cultura</t>
        </is>
      </c>
      <c r="J100" t="n">
        <v>7</v>
      </c>
      <c r="K100" t="n">
        <v>0</v>
      </c>
      <c r="L100" t="n">
        <v>0</v>
      </c>
      <c r="M100" t="n">
        <v>0</v>
      </c>
      <c r="N100">
        <f>SUM(J100:M100)</f>
        <v/>
      </c>
      <c r="O100" s="4">
        <f>SUM(J100:L100)/SUM(J100:M100)</f>
        <v/>
      </c>
      <c r="P100" s="5">
        <f>MAX(J100:L100)/SUM(J100:L100)</f>
        <v/>
      </c>
    </row>
    <row r="101">
      <c r="A101" t="inlineStr">
        <is>
          <t>Primer año</t>
        </is>
      </c>
      <c r="B101" t="inlineStr">
        <is>
          <t>Segundo periodo</t>
        </is>
      </c>
      <c r="C101" t="n">
        <v>28</v>
      </c>
      <c r="D101" t="n">
        <v>99</v>
      </c>
      <c r="E101" s="3" t="n">
        <v>45785</v>
      </c>
      <c r="F101" t="inlineStr">
        <is>
          <t>Punto de Acuerdo</t>
        </is>
      </c>
      <c r="G101" t="inlineStr">
        <is>
          <t>Acuerdo por el que se exhorta a la Secretaría de Educación del estado para que revise de manera integral las políticas y prácticas de inclusión en las instituciones de educación superior, asegurando que se adopten ajustes razonables y medidas de accesibilidad, con el fin de eliminar barreras y garantizar un entorno educativo equitativo e incluyente y en su caso, aprobación</t>
        </is>
      </c>
      <c r="H101" t="n">
        <v>8</v>
      </c>
      <c r="I101" t="inlineStr">
        <is>
          <t>Educación y Cultura</t>
        </is>
      </c>
      <c r="J101" t="n">
        <v>7</v>
      </c>
      <c r="K101" t="n">
        <v>0</v>
      </c>
      <c r="L101" t="n">
        <v>0</v>
      </c>
      <c r="M101" t="n">
        <v>0</v>
      </c>
      <c r="N101">
        <f>SUM(J101:M101)</f>
        <v/>
      </c>
      <c r="O101" s="4">
        <f>SUM(J101:L101)/SUM(J101:M101)</f>
        <v/>
      </c>
      <c r="P101" s="5">
        <f>MAX(J101:L101)/SUM(J101:L101)</f>
        <v/>
      </c>
    </row>
    <row r="102">
      <c r="A102" t="inlineStr">
        <is>
          <t>Primer año</t>
        </is>
      </c>
      <c r="B102" t="inlineStr">
        <is>
          <t>Segundo periodo</t>
        </is>
      </c>
      <c r="C102" t="n">
        <v>29</v>
      </c>
      <c r="D102" t="n">
        <v>100</v>
      </c>
      <c r="E102" s="3" t="n">
        <v>45785</v>
      </c>
      <c r="F102" t="inlineStr">
        <is>
          <t>Punto de Acuerdo</t>
        </is>
      </c>
      <c r="G102" t="inlineStr">
        <is>
          <t>Acuerdo por el que se exhorta a la Secretaría de Educación y a la Secretaría de Ciencia, Humanidades, Tecnología e Innovación, ambas del estado, a implementar programas que fortalezcan la conectividad y proporcionen herramientas digitales en las escuelas de zonas rurales de la entidad, a fin de garantizar una educación de calidad y, en su caso aprobación</t>
        </is>
      </c>
      <c r="H102" t="n">
        <v>8</v>
      </c>
      <c r="I102" t="inlineStr">
        <is>
          <t>Educación y Cultura</t>
        </is>
      </c>
      <c r="J102" t="n">
        <v>7</v>
      </c>
      <c r="K102" t="n">
        <v>0</v>
      </c>
      <c r="L102" t="n">
        <v>0</v>
      </c>
      <c r="M102" t="n">
        <v>0</v>
      </c>
      <c r="N102">
        <f>SUM(J102:M102)</f>
        <v/>
      </c>
      <c r="O102" s="4">
        <f>SUM(J102:L102)/SUM(J102:M102)</f>
        <v/>
      </c>
      <c r="P102" s="5">
        <f>MAX(J102:L102)/SUM(J102:L102)</f>
        <v/>
      </c>
    </row>
    <row r="103">
      <c r="A103" t="inlineStr">
        <is>
          <t>Primer año</t>
        </is>
      </c>
      <c r="B103" t="inlineStr">
        <is>
          <t>Segundo periodo</t>
        </is>
      </c>
      <c r="C103" t="n">
        <v>30</v>
      </c>
      <c r="D103" t="n">
        <v>101</v>
      </c>
      <c r="E103" s="3" t="n">
        <v>45785</v>
      </c>
      <c r="F103" t="inlineStr">
        <is>
          <t>Punto de Acuerdo</t>
        </is>
      </c>
      <c r="G103" t="inlineStr">
        <is>
          <t>Acuerdo por el que se exhorta a la Secretaría de Educación del estado para que, a través de las áreas administrativas y operativas competentes, implemente un sistema digital para la inscripción y reinscripción de estudiantes en instituciones educativas de la entidad, con el fin de apoyar a la economía familiar y cuidar el medio ambiente y, en su caso, aprobación</t>
        </is>
      </c>
      <c r="H103" t="n">
        <v>8</v>
      </c>
      <c r="I103" t="inlineStr">
        <is>
          <t>Educación y Cultura</t>
        </is>
      </c>
      <c r="J103" t="n">
        <v>7</v>
      </c>
      <c r="K103" t="n">
        <v>0</v>
      </c>
      <c r="L103" t="n">
        <v>0</v>
      </c>
      <c r="M103" t="n">
        <v>0</v>
      </c>
      <c r="N103">
        <f>SUM(J103:M103)</f>
        <v/>
      </c>
      <c r="O103" s="4">
        <f>SUM(J103:L103)/SUM(J103:M103)</f>
        <v/>
      </c>
      <c r="P103" s="5">
        <f>MAX(J103:L103)/SUM(J103:L103)</f>
        <v/>
      </c>
    </row>
    <row r="104">
      <c r="A104" t="inlineStr">
        <is>
          <t>Primer año</t>
        </is>
      </c>
      <c r="B104" t="inlineStr">
        <is>
          <t>Tercer periodo</t>
        </is>
      </c>
      <c r="C104" t="n">
        <v>1</v>
      </c>
      <c r="D104" t="n">
        <v>102</v>
      </c>
      <c r="E104" s="3" t="n">
        <v>45854</v>
      </c>
      <c r="F104" t="inlineStr">
        <is>
          <t>Punto de Acuerdo</t>
        </is>
      </c>
      <c r="G104" t="inlineStr">
        <is>
          <t>Acuerdo por el cual llevar a cabo las sesiones en el salón de plenos de este recinto legislativo</t>
        </is>
      </c>
      <c r="H104" t="n">
        <v>19</v>
      </c>
      <c r="I104" t="inlineStr">
        <is>
          <t>Internos del Congreso</t>
        </is>
      </c>
      <c r="J104" t="n">
        <v>7</v>
      </c>
      <c r="K104" t="n">
        <v>0</v>
      </c>
      <c r="L104" t="n">
        <v>0</v>
      </c>
      <c r="M104" t="n">
        <v>0</v>
      </c>
      <c r="N104">
        <f>SUM(J104:M104)</f>
        <v/>
      </c>
      <c r="O104" s="4">
        <f>SUM(J104:L104)/SUM(J104:M104)</f>
        <v/>
      </c>
      <c r="P104" s="5">
        <f>MAX(J104:L104)/SUM(J104:L104)</f>
        <v/>
      </c>
    </row>
    <row r="105">
      <c r="A105" t="inlineStr">
        <is>
          <t>Primer año</t>
        </is>
      </c>
      <c r="B105" t="inlineStr">
        <is>
          <t>Tercer periodo</t>
        </is>
      </c>
      <c r="C105" t="n">
        <v>2</v>
      </c>
      <c r="D105" t="n">
        <v>103</v>
      </c>
      <c r="E105" s="3" t="n">
        <v>45863</v>
      </c>
      <c r="F105" t="inlineStr">
        <is>
          <t>Punto de Acuerdo</t>
        </is>
      </c>
      <c r="G105" t="inlineStr">
        <is>
          <t>Acuerdo por el que se exhorta a la secretaría de igualdad de género de la sexagésima segunda legislatura del honorable congreso del estado, por el que se exhorta a la secretaría de arte y cultura, así como a los doscientos doce ayuntamientos y cinco concejos municipales del estado, para que implementen programas y actividades artísticas y culturales que fomenten la participación de la comunidad lgbtiq+, con el fin de contribuir a la construcción de una sociedad más justa, inclusiva y equitativa</t>
        </is>
      </c>
      <c r="H105" t="n">
        <v>20</v>
      </c>
      <c r="I105" t="inlineStr">
        <is>
          <t>Derechos de grupos vulnerables</t>
        </is>
      </c>
      <c r="J105" t="n">
        <v>7</v>
      </c>
      <c r="K105" t="n">
        <v>0</v>
      </c>
      <c r="L105" t="n">
        <v>0</v>
      </c>
      <c r="M105" t="n">
        <v>34</v>
      </c>
      <c r="N105">
        <f>SUM(J105:M105)</f>
        <v/>
      </c>
      <c r="O105" s="4">
        <f>SUM(J105:L105)/SUM(J105:M105)</f>
        <v/>
      </c>
      <c r="P105" s="5">
        <f>MAX(J105:L105)/SUM(J105:L105)</f>
        <v/>
      </c>
    </row>
    <row r="106">
      <c r="A106" t="inlineStr">
        <is>
          <t>Primer año</t>
        </is>
      </c>
      <c r="B106" t="inlineStr">
        <is>
          <t>Tercer periodo</t>
        </is>
      </c>
      <c r="C106" t="n">
        <v>3</v>
      </c>
      <c r="D106" t="n">
        <v>104</v>
      </c>
      <c r="E106" s="3" t="n">
        <v>45863</v>
      </c>
      <c r="F106" t="inlineStr">
        <is>
          <t>Punto de Acuerdo</t>
        </is>
      </c>
      <c r="G106" t="inlineStr">
        <is>
          <t>Acuerdo por el que se exhorta a la comisión de educación de la sexagésima segunda legislatura del honorable congreso del estado, por el que se exhorta a la secretaría de educación pública del estado para que, en coordinación con la policía estatal cibernética, implemente capacitaciones a las y los docentes, y diseñe protocolos de prevención, atención, y denuncia en materia de sexting y violencia digital, a fin de garantizar el uso seguro del internet en las y los estudiantes del estado</t>
        </is>
      </c>
      <c r="H106" t="n">
        <v>8</v>
      </c>
      <c r="I106" t="inlineStr">
        <is>
          <t>Educación y Cultura</t>
        </is>
      </c>
      <c r="J106" t="n">
        <v>8</v>
      </c>
      <c r="K106" t="n">
        <v>0</v>
      </c>
      <c r="L106" t="n">
        <v>0</v>
      </c>
      <c r="M106" t="n">
        <v>33</v>
      </c>
      <c r="N106">
        <f>SUM(J106:M106)</f>
        <v/>
      </c>
      <c r="O106" s="4">
        <f>SUM(J106:L106)/SUM(J106:M106)</f>
        <v/>
      </c>
      <c r="P106" s="5">
        <f>MAX(J106:L106)/SUM(J106:L106)</f>
        <v/>
      </c>
    </row>
    <row r="107">
      <c r="A107" t="inlineStr">
        <is>
          <t>Primer año</t>
        </is>
      </c>
      <c r="B107" t="inlineStr">
        <is>
          <t>Tercer periodo</t>
        </is>
      </c>
      <c r="C107" t="n">
        <v>4</v>
      </c>
      <c r="D107" t="n">
        <v>105</v>
      </c>
      <c r="E107" s="3" t="n">
        <v>45863</v>
      </c>
      <c r="F107" t="inlineStr">
        <is>
          <t>Punto de Acuerdo</t>
        </is>
      </c>
      <c r="G107" t="inlineStr">
        <is>
          <t>Acuerdo por el que se exhorta a la comisión de educación de la sexagésima segunda legislatura del honorable congreso del estado, por el que se exhorta a la secretaría de educación pública y a la secretaría de salud, para que en coordinación con los doscientos doce ayuntamientos y los cinco concejos municipales del estado, implementen campañas de concientización y prevención de las autolesiones, también denominadas “cutting”, dirigidas a madres, padres, tutores y docentes, con la finalidad de proporcionar la orientación necesaria y, en su caso, la atención oportuna a los casos de niñas, niños y adolescentes que presenten este tipo de conducta autolesiva</t>
        </is>
      </c>
      <c r="H107" t="n">
        <v>6</v>
      </c>
      <c r="I107" t="inlineStr">
        <is>
          <t>Salud</t>
        </is>
      </c>
      <c r="J107" t="n">
        <v>8</v>
      </c>
      <c r="K107" t="n">
        <v>0</v>
      </c>
      <c r="L107" t="n">
        <v>0</v>
      </c>
      <c r="M107" t="n">
        <v>33</v>
      </c>
      <c r="N107">
        <f>SUM(J107:M107)</f>
        <v/>
      </c>
      <c r="O107" s="4">
        <f>SUM(J107:L107)/SUM(J107:M107)</f>
        <v/>
      </c>
      <c r="P107" s="5">
        <f>MAX(J107:L107)/SUM(J107:L107)</f>
        <v/>
      </c>
    </row>
    <row r="108">
      <c r="A108" t="inlineStr">
        <is>
          <t>Primer año</t>
        </is>
      </c>
      <c r="B108" t="inlineStr">
        <is>
          <t>Tercer periodo</t>
        </is>
      </c>
      <c r="C108" t="n">
        <v>5</v>
      </c>
      <c r="D108" t="n">
        <v>106</v>
      </c>
      <c r="E108" s="3" t="n">
        <v>45863</v>
      </c>
      <c r="F108" t="inlineStr">
        <is>
          <t>Punto de Acuerdo</t>
        </is>
      </c>
      <c r="G108" t="inlineStr">
        <is>
          <t>Acuerdo por el que se exhorta a la comisión de educación de la sexagésima segunda legislatura del honorable congreso del estado, por el que se exhorta a la secretaría de educación pública para que, en coordinación con la secretaría de salud, ambas del estado, diseñe e implemente un protocolo de atención inmediata de emergencias médicas en el entorno escolar y otorgue capacitación al personal docente, directivo y administrativo, con el objeto de evitar o minimizar daños en situaciones de riesgo de las y los actores de la educación</t>
        </is>
      </c>
      <c r="H108" t="n">
        <v>8</v>
      </c>
      <c r="I108" t="inlineStr">
        <is>
          <t>Educación y Cultura</t>
        </is>
      </c>
      <c r="J108" t="n">
        <v>8</v>
      </c>
      <c r="K108" t="n">
        <v>0</v>
      </c>
      <c r="L108" t="n">
        <v>0</v>
      </c>
      <c r="M108" t="n">
        <v>33</v>
      </c>
      <c r="N108">
        <f>SUM(J108:M108)</f>
        <v/>
      </c>
      <c r="O108" s="4">
        <f>SUM(J108:L108)/SUM(J108:M108)</f>
        <v/>
      </c>
      <c r="P108" s="5">
        <f>MAX(J108:L108)/SUM(J108:L108)</f>
        <v/>
      </c>
    </row>
    <row r="109">
      <c r="A109" t="inlineStr">
        <is>
          <t>Primer año</t>
        </is>
      </c>
      <c r="B109" t="inlineStr">
        <is>
          <t>Tercer periodo</t>
        </is>
      </c>
      <c r="C109" t="n">
        <v>6</v>
      </c>
      <c r="D109" t="n">
        <v>107</v>
      </c>
      <c r="E109" s="3" t="n">
        <v>45863</v>
      </c>
      <c r="F109" t="inlineStr">
        <is>
          <t>Punto de Acuerdo</t>
        </is>
      </c>
      <c r="G109" t="inlineStr">
        <is>
          <t>Acuerdo por el que se exhorta a la comisión de desarrollo económico de la sexagésima segunda legislatura del honorable congreso del estado, por el que se exhorta a la procuraduría federal del consumidor delegación , para que vigile que las casas de empeño en la entidad se encuentren debidamente inscritas en el registro público de casas de empeño y rindan el reporte mensual de los actos o hechos que estén relacionados con las operaciones que realizan, en términos de ley, entre otro resolutivo</t>
        </is>
      </c>
      <c r="H109" t="n">
        <v>1</v>
      </c>
      <c r="I109" t="inlineStr">
        <is>
          <t>Economía, Comercio y Competitividad</t>
        </is>
      </c>
      <c r="J109" t="n">
        <v>8</v>
      </c>
      <c r="K109" t="n">
        <v>0</v>
      </c>
      <c r="L109" t="n">
        <v>0</v>
      </c>
      <c r="M109" t="n">
        <v>33</v>
      </c>
      <c r="N109">
        <f>SUM(J109:M109)</f>
        <v/>
      </c>
      <c r="O109" s="4">
        <f>SUM(J109:L109)/SUM(J109:M109)</f>
        <v/>
      </c>
      <c r="P109" s="5">
        <f>MAX(J109:L109)/SUM(J109:L109)</f>
        <v/>
      </c>
    </row>
    <row r="110">
      <c r="A110" t="inlineStr">
        <is>
          <t>Primer año</t>
        </is>
      </c>
      <c r="B110" t="inlineStr">
        <is>
          <t>Tercer periodo</t>
        </is>
      </c>
      <c r="C110" t="n">
        <v>7</v>
      </c>
      <c r="D110" t="n">
        <v>108</v>
      </c>
      <c r="E110" s="3" t="n">
        <v>45863</v>
      </c>
      <c r="F110" t="inlineStr">
        <is>
          <t>Punto de Acuerdo</t>
        </is>
      </c>
      <c r="G110" t="inlineStr">
        <is>
          <t>Acuerdo por el que se exhorta a la comisión de salud de la sexagésima segunda legislatura del honorable congreso del estado, por el que se exhorta a los doscientos doce ayuntamientos y a los cinco concejos municipales de la entidad, para que realicen los trámites necesarios y destinen los recursos humanos, materiales y financieros para la operación de los servicios de ambulancias médicas y de protección civil municipales. así como a la secretaría de salud del estado, para que en el ámbito de su competencia verifique el cumplimiento de las normas oficiales mexicanas en materia de prestación de servicios de atención médica de unidades móviles tipo ambulancia en la entidad</t>
        </is>
      </c>
      <c r="H110" t="n">
        <v>3</v>
      </c>
      <c r="I110" t="inlineStr">
        <is>
          <t>Seguridad Pública, Protección Civil y Narcotráfico</t>
        </is>
      </c>
      <c r="J110" t="n">
        <v>8</v>
      </c>
      <c r="K110" t="n">
        <v>0</v>
      </c>
      <c r="L110" t="n">
        <v>0</v>
      </c>
      <c r="M110" t="n">
        <v>33</v>
      </c>
      <c r="N110">
        <f>SUM(J110:M110)</f>
        <v/>
      </c>
      <c r="O110" s="4">
        <f>SUM(J110:L110)/SUM(J110:M110)</f>
        <v/>
      </c>
      <c r="P110" s="5">
        <f>MAX(J110:L110)/SUM(J110:L110)</f>
        <v/>
      </c>
    </row>
    <row r="111">
      <c r="A111" t="inlineStr">
        <is>
          <t>Primer año</t>
        </is>
      </c>
      <c r="B111" t="inlineStr">
        <is>
          <t>Tercer periodo</t>
        </is>
      </c>
      <c r="C111" t="n">
        <v>8</v>
      </c>
      <c r="D111" t="n">
        <v>109</v>
      </c>
      <c r="E111" s="3" t="n">
        <v>45863</v>
      </c>
      <c r="F111" t="inlineStr">
        <is>
          <t>Punto de Acuerdo</t>
        </is>
      </c>
      <c r="G111" t="inlineStr">
        <is>
          <t>Acuerdo por el que se exhorta a la comisión de salud de la sexagésima segunda legislatura del honorable congreso del estado, por el que se exhorta a las dependencias de la administración pública del estado y a los doscientos doce ayuntamientos y cinco concejos municipales de la entidad, para que implementen y fortalezcan acciones que garanticen el derecho a la l ncia materna y fomenten la instalación de l rios</t>
        </is>
      </c>
      <c r="H111" t="n">
        <v>6</v>
      </c>
      <c r="I111" t="inlineStr">
        <is>
          <t>Salud</t>
        </is>
      </c>
      <c r="J111" t="n">
        <v>8</v>
      </c>
      <c r="K111" t="n">
        <v>0</v>
      </c>
      <c r="L111" t="n">
        <v>0</v>
      </c>
      <c r="M111" t="n">
        <v>33</v>
      </c>
      <c r="N111">
        <f>SUM(J111:M111)</f>
        <v/>
      </c>
      <c r="O111" s="4">
        <f>SUM(J111:L111)/SUM(J111:M111)</f>
        <v/>
      </c>
      <c r="P111" s="5">
        <f>MAX(J111:L111)/SUM(J111:L111)</f>
        <v/>
      </c>
    </row>
    <row r="112">
      <c r="A112" t="inlineStr">
        <is>
          <t>Primer año</t>
        </is>
      </c>
      <c r="B112" t="inlineStr">
        <is>
          <t>Tercer periodo</t>
        </is>
      </c>
      <c r="C112" t="n">
        <v>9</v>
      </c>
      <c r="D112" t="n">
        <v>110</v>
      </c>
      <c r="E112" s="3" t="n">
        <v>45863</v>
      </c>
      <c r="F112" t="inlineStr">
        <is>
          <t>Punto de Acuerdo</t>
        </is>
      </c>
      <c r="G112" t="inlineStr">
        <is>
          <t>Acuerdo por el que se exhorta a la comisión de salud de la sexagésima segunda legislatura del honorable congreso del estado, por el que se exhorta a la secretaría de salud del estado para que de manera coordinada con los doscientos doce ayuntamientos y cinco concejos municipales implementen y fortalezcan las jornadas integrales de salud garantizando el bienestar de las personas adultas mayores</t>
        </is>
      </c>
      <c r="H112" t="n">
        <v>6</v>
      </c>
      <c r="I112" t="inlineStr">
        <is>
          <t>Salud</t>
        </is>
      </c>
      <c r="J112" t="n">
        <v>8</v>
      </c>
      <c r="K112" t="n">
        <v>0</v>
      </c>
      <c r="L112" t="n">
        <v>0</v>
      </c>
      <c r="M112" t="n">
        <v>33</v>
      </c>
      <c r="N112">
        <f>SUM(J112:M112)</f>
        <v/>
      </c>
      <c r="O112" s="4">
        <f>SUM(J112:L112)/SUM(J112:M112)</f>
        <v/>
      </c>
      <c r="P112" s="5">
        <f>MAX(J112:L112)/SUM(J112:L112)</f>
        <v/>
      </c>
    </row>
    <row r="113">
      <c r="A113" t="inlineStr">
        <is>
          <t>Primer año</t>
        </is>
      </c>
      <c r="B113" t="inlineStr">
        <is>
          <t>Tercer periodo</t>
        </is>
      </c>
      <c r="C113" t="n">
        <v>10</v>
      </c>
      <c r="D113" t="n">
        <v>111</v>
      </c>
      <c r="E113" s="3" t="n">
        <v>45863</v>
      </c>
      <c r="F113" t="inlineStr">
        <is>
          <t>Punto de Acuerdo</t>
        </is>
      </c>
      <c r="G113" t="inlineStr">
        <is>
          <t>Acuerdo por el que se exhorta a la comisión de salud de la sexagésima segunda legislatura del honorable congreso del estado, por el que se exhorta a la secretaría de salud del estado para que amplíe la difusión del panorama epidemiológico del virus de inmunodeficiencia humana (vih) y del síndrome de inmunodeficiencia adquirida (sida) con el fin de implementar y reforzar campañas permanentes de información, sensibilización y prevención que promuevan una cultura de salud sexual</t>
        </is>
      </c>
      <c r="H113" t="n">
        <v>6</v>
      </c>
      <c r="I113" t="inlineStr">
        <is>
          <t>Salud</t>
        </is>
      </c>
      <c r="J113" t="n">
        <v>8</v>
      </c>
      <c r="K113" t="n">
        <v>0</v>
      </c>
      <c r="L113" t="n">
        <v>0</v>
      </c>
      <c r="M113" t="n">
        <v>33</v>
      </c>
      <c r="N113">
        <f>SUM(J113:M113)</f>
        <v/>
      </c>
      <c r="O113" s="4">
        <f>SUM(J113:L113)/SUM(J113:M113)</f>
        <v/>
      </c>
      <c r="P113" s="5">
        <f>MAX(J113:L113)/SUM(J113:L113)</f>
        <v/>
      </c>
    </row>
    <row r="114">
      <c r="A114" t="inlineStr">
        <is>
          <t>Primer año</t>
        </is>
      </c>
      <c r="B114" t="inlineStr">
        <is>
          <t>Tercer periodo</t>
        </is>
      </c>
      <c r="C114" t="n">
        <v>11</v>
      </c>
      <c r="D114" t="n">
        <v>112</v>
      </c>
      <c r="E114" s="3" t="n">
        <v>45863</v>
      </c>
      <c r="F114" t="inlineStr">
        <is>
          <t>Punto de Acuerdo</t>
        </is>
      </c>
      <c r="G114" t="inlineStr">
        <is>
          <t>Acuerdo por el que se exhorta a la comisión de salud de la sexagésima segunda legislatura del honorable congreso del estado, por el que se exhorta a la secretaría de salud en coordinación con la secretaría de educación pública, ambas del estado para que implementen campañas de concientización sobre la donación de órganos y tejidos priorizando la orientación en el sector educativo</t>
        </is>
      </c>
      <c r="H114" t="n">
        <v>6</v>
      </c>
      <c r="I114" t="inlineStr">
        <is>
          <t>Salud</t>
        </is>
      </c>
      <c r="J114" t="n">
        <v>8</v>
      </c>
      <c r="K114" t="n">
        <v>0</v>
      </c>
      <c r="L114" t="n">
        <v>0</v>
      </c>
      <c r="M114" t="n">
        <v>33</v>
      </c>
      <c r="N114">
        <f>SUM(J114:M114)</f>
        <v/>
      </c>
      <c r="O114" s="4">
        <f>SUM(J114:L114)/SUM(J114:M114)</f>
        <v/>
      </c>
      <c r="P114" s="5">
        <f>MAX(J114:L114)/SUM(J114:L114)</f>
        <v/>
      </c>
    </row>
    <row r="115">
      <c r="A115" t="inlineStr">
        <is>
          <t>Primer año</t>
        </is>
      </c>
      <c r="B115" t="inlineStr">
        <is>
          <t>Tercer periodo</t>
        </is>
      </c>
      <c r="C115" t="n">
        <v>12</v>
      </c>
      <c r="D115" t="n">
        <v>113</v>
      </c>
      <c r="E115" s="3" t="n">
        <v>45884</v>
      </c>
      <c r="F115" t="inlineStr">
        <is>
          <t>Punto de Acuerdo</t>
        </is>
      </c>
      <c r="G115" t="inlineStr">
        <is>
          <t>Acuerdo por el que se exhorta a los doscientos doce ayuntamientos y a los cinco concejos municipales del estado, para que en términos del artículo 94 de la ley orgánica municipal, autoricen la creación de la comisión de ciencia, tecnología e innovación, con el objetivo de promover e impulsar el desarrollo municipal en la investigación humanística, científica, tecnológica e innovación</t>
        </is>
      </c>
      <c r="H115" t="n">
        <v>18</v>
      </c>
      <c r="I115" t="inlineStr">
        <is>
          <t>Administración Pública</t>
        </is>
      </c>
      <c r="J115" t="n">
        <v>8</v>
      </c>
      <c r="K115" t="n">
        <v>0</v>
      </c>
      <c r="L115" t="n">
        <v>0</v>
      </c>
      <c r="M115" t="n">
        <v>33</v>
      </c>
      <c r="N115">
        <f>SUM(J115:M115)</f>
        <v/>
      </c>
      <c r="O115" s="4">
        <f>SUM(J115:L115)/SUM(J115:M115)</f>
        <v/>
      </c>
      <c r="P115" s="5">
        <f>MAX(J115:L115)/SUM(J115:L115)</f>
        <v/>
      </c>
    </row>
    <row r="116">
      <c r="A116" t="inlineStr">
        <is>
          <t>Primer año</t>
        </is>
      </c>
      <c r="B116" t="inlineStr">
        <is>
          <t>Tercer periodo</t>
        </is>
      </c>
      <c r="C116" t="n">
        <v>13</v>
      </c>
      <c r="D116" t="n">
        <v>114</v>
      </c>
      <c r="E116" s="3" t="n">
        <v>45884</v>
      </c>
      <c r="F116" t="inlineStr">
        <is>
          <t>Punto de Acuerdo</t>
        </is>
      </c>
      <c r="G116" t="inlineStr">
        <is>
          <t>Acuerdo por el que se exhorta al honorable ayuntamiento de Chiautla de Tapia, para que durante su ejercicio constitucional inserte en su papelería oficial la leyenda conmemorativa “Gilberto Bosques Saldívar: mixteco, diplomático, humanista y orgullo de Chiautla de Tapia”; lo anterior como muestra de reconocimiento a su labor humanitaria</t>
        </is>
      </c>
      <c r="H116" t="n">
        <v>18</v>
      </c>
      <c r="I116" t="inlineStr">
        <is>
          <t>Administración Pública</t>
        </is>
      </c>
      <c r="J116" t="n">
        <v>8</v>
      </c>
      <c r="K116" t="n">
        <v>0</v>
      </c>
      <c r="L116" t="n">
        <v>0</v>
      </c>
      <c r="M116" t="n">
        <v>33</v>
      </c>
      <c r="N116">
        <f>SUM(J116:M116)</f>
        <v/>
      </c>
      <c r="O116" s="4">
        <f>SUM(J116:L116)/SUM(J116:M116)</f>
        <v/>
      </c>
      <c r="P116" s="5">
        <f>MAX(J116:L116)/SUM(J116:L116)</f>
        <v/>
      </c>
    </row>
    <row r="117">
      <c r="A117" t="inlineStr">
        <is>
          <t>Primer año</t>
        </is>
      </c>
      <c r="B117" t="inlineStr">
        <is>
          <t>Tercer periodo</t>
        </is>
      </c>
      <c r="C117" t="n">
        <v>14</v>
      </c>
      <c r="D117" t="n">
        <v>115</v>
      </c>
      <c r="E117" s="3" t="n">
        <v>45884</v>
      </c>
      <c r="F117" t="inlineStr">
        <is>
          <t>Punto de Acuerdo</t>
        </is>
      </c>
      <c r="G117" t="inlineStr">
        <is>
          <t>Acuerdo por el que se exhorta a los doscientos doce ayuntamientos y cinco concejos municipales del estado para que, en coordinación con la secretaría de seguridad pública, realicen operativos de vigilancia en las inmediaciones de los planteles escolares, con el fin de reforzar la seguridad y generar espacios seguros para las niñas, niños y adolescentes</t>
        </is>
      </c>
      <c r="H117" t="n">
        <v>3</v>
      </c>
      <c r="I117" t="inlineStr">
        <is>
          <t>Seguridad Pública, Protección Civil y Narcotráfico</t>
        </is>
      </c>
      <c r="J117" t="n">
        <v>8</v>
      </c>
      <c r="K117" t="n">
        <v>0</v>
      </c>
      <c r="L117" t="n">
        <v>0</v>
      </c>
      <c r="M117" t="n">
        <v>33</v>
      </c>
      <c r="N117">
        <f>SUM(J117:M117)</f>
        <v/>
      </c>
      <c r="O117" s="4">
        <f>SUM(J117:L117)/SUM(J117:M117)</f>
        <v/>
      </c>
      <c r="P117" s="5">
        <f>MAX(J117:L117)/SUM(J117:L117)</f>
        <v/>
      </c>
    </row>
    <row r="118">
      <c r="A118" t="inlineStr">
        <is>
          <t>Primer año</t>
        </is>
      </c>
      <c r="B118" t="inlineStr">
        <is>
          <t>Tercer periodo</t>
        </is>
      </c>
      <c r="C118" t="n">
        <v>15</v>
      </c>
      <c r="D118" t="n">
        <v>116</v>
      </c>
      <c r="E118" s="3" t="n">
        <v>45884</v>
      </c>
      <c r="F118" t="inlineStr">
        <is>
          <t>Punto de Acuerdo</t>
        </is>
      </c>
      <c r="G118" t="inlineStr">
        <is>
          <t>Acuerdo por el que se exhorta a los doscientos doce ayuntamientos y a los cinco concejos municipales del estado, para que elaboren lineamientos y/o reglas de operación en materia de subsidios, apoyos o donativos, con el fin de garantizar transparencia, equidad, legalidad y eficiencia en la asignación y entrega de estos recursos, evitando con esto observaciones por parte de la auditoría superior del estado</t>
        </is>
      </c>
      <c r="H118" t="n">
        <v>10</v>
      </c>
      <c r="I118" t="inlineStr">
        <is>
          <t>Transparencia y Rendición de Cuentas</t>
        </is>
      </c>
      <c r="J118" t="n">
        <v>8</v>
      </c>
      <c r="K118" t="n">
        <v>0</v>
      </c>
      <c r="L118" t="n">
        <v>0</v>
      </c>
      <c r="M118" t="n">
        <v>33</v>
      </c>
      <c r="N118">
        <f>SUM(J118:M118)</f>
        <v/>
      </c>
      <c r="O118" s="4">
        <f>SUM(J118:L118)/SUM(J118:M118)</f>
        <v/>
      </c>
      <c r="P118" s="5">
        <f>MAX(J118:L118)/SUM(J118:L118)</f>
        <v/>
      </c>
    </row>
    <row r="119">
      <c r="A119" t="inlineStr">
        <is>
          <t>Primer año</t>
        </is>
      </c>
      <c r="B119" t="inlineStr">
        <is>
          <t>Tercer periodo</t>
        </is>
      </c>
      <c r="C119" t="n">
        <v>16</v>
      </c>
      <c r="D119" t="n">
        <v>117</v>
      </c>
      <c r="E119" s="3" t="n">
        <v>45884</v>
      </c>
      <c r="F119" t="inlineStr">
        <is>
          <t>Punto de Acuerdo</t>
        </is>
      </c>
      <c r="G119" t="inlineStr">
        <is>
          <t>Acuerdo por el que se exhorta a los doscientos doce ayuntamientos y a los cinco concejos municipales del estado para que, en el ámbito de su competencia, procedan al retiro de las casetas telefónicas instaladas en la vía pública, con el fin de mantener los espacios públicos libres de obstáculos y garantizar las condiciones de accesibilidad y movilidad adecuadas para las personas con discapacidad</t>
        </is>
      </c>
      <c r="H119" t="n">
        <v>11</v>
      </c>
      <c r="I119" t="inlineStr">
        <is>
          <t>Infraestructura, Movilidad y Transporte</t>
        </is>
      </c>
      <c r="J119" t="n">
        <v>8</v>
      </c>
      <c r="K119" t="n">
        <v>0</v>
      </c>
      <c r="L119" t="n">
        <v>0</v>
      </c>
      <c r="M119" t="n">
        <v>33</v>
      </c>
      <c r="N119">
        <f>SUM(J119:M119)</f>
        <v/>
      </c>
      <c r="O119" s="4">
        <f>SUM(J119:L119)/SUM(J119:M119)</f>
        <v/>
      </c>
      <c r="P119" s="5">
        <f>MAX(J119:L119)/SUM(J119:L119)</f>
        <v/>
      </c>
    </row>
    <row r="120">
      <c r="A120" t="inlineStr">
        <is>
          <t>Primer año</t>
        </is>
      </c>
      <c r="B120" t="inlineStr">
        <is>
          <t>Tercer periodo</t>
        </is>
      </c>
      <c r="C120" t="n">
        <v>17</v>
      </c>
      <c r="D120" t="n">
        <v>118</v>
      </c>
      <c r="E120" s="3" t="n">
        <v>45884</v>
      </c>
      <c r="F120" t="inlineStr">
        <is>
          <t>Punto de Acuerdo</t>
        </is>
      </c>
      <c r="G120" t="inlineStr">
        <is>
          <t>Acuerdo por el que se exhorta a las dependencias del gobierno del estado, así como a los doscientos doce ayuntamientos y cinco concejos municipales de la entidad, para que en la difusión de sus convocatorias, programas y acciones consideren la brecha digital que enfrentan los pueblos y comunidades indígenas y afromexicanas, y con ello garanticen su inclusión efectiva y el acceso a los beneficios que los mismos promueven</t>
        </is>
      </c>
      <c r="H120" t="n">
        <v>2</v>
      </c>
      <c r="I120" t="inlineStr">
        <is>
          <t>Pobreza y Política Social</t>
        </is>
      </c>
      <c r="J120" t="n">
        <v>8</v>
      </c>
      <c r="K120" t="n">
        <v>0</v>
      </c>
      <c r="L120" t="n">
        <v>0</v>
      </c>
      <c r="M120" t="n">
        <v>33</v>
      </c>
      <c r="N120">
        <f>SUM(J120:M120)</f>
        <v/>
      </c>
      <c r="O120" s="4">
        <f>SUM(J120:L120)/SUM(J120:M120)</f>
        <v/>
      </c>
      <c r="P120" s="5">
        <f>MAX(J120:L120)/SUM(J120:L120)</f>
        <v/>
      </c>
    </row>
    <row r="121">
      <c r="A121" t="inlineStr">
        <is>
          <t>Primer año</t>
        </is>
      </c>
      <c r="B121" t="inlineStr">
        <is>
          <t>Tercer periodo</t>
        </is>
      </c>
      <c r="C121" t="n">
        <v>18</v>
      </c>
      <c r="D121" t="n">
        <v>119</v>
      </c>
      <c r="E121" s="3" t="n">
        <v>45890</v>
      </c>
      <c r="F121" t="inlineStr">
        <is>
          <t>Punto de Acuerdo</t>
        </is>
      </c>
      <c r="G121" t="inlineStr">
        <is>
          <t>Acuerdo por el cual dispensar la lectura del orden del día</t>
        </is>
      </c>
      <c r="H121" t="n">
        <v>19</v>
      </c>
      <c r="I121" t="inlineStr">
        <is>
          <t>Internos del Congreso</t>
        </is>
      </c>
      <c r="J121" t="n">
        <v>8</v>
      </c>
      <c r="K121" t="n">
        <v>0</v>
      </c>
      <c r="L121" t="n">
        <v>0</v>
      </c>
      <c r="M121" t="n">
        <v>33</v>
      </c>
      <c r="N121">
        <f>SUM(J121:M121)</f>
        <v/>
      </c>
      <c r="O121" s="4">
        <f>SUM(J121:L121)/SUM(J121:M121)</f>
        <v/>
      </c>
      <c r="P121" s="5">
        <f>MAX(J121:L121)/SUM(J121:L121)</f>
        <v/>
      </c>
    </row>
    <row r="122">
      <c r="A122" t="inlineStr">
        <is>
          <t>Primer año</t>
        </is>
      </c>
      <c r="B122" t="inlineStr">
        <is>
          <t>Tercer periodo</t>
        </is>
      </c>
      <c r="C122" t="n">
        <v>19</v>
      </c>
      <c r="D122" t="n">
        <v>120</v>
      </c>
      <c r="E122" s="3" t="n">
        <v>45890</v>
      </c>
      <c r="F122" t="inlineStr">
        <is>
          <t>Punto de Acuerdo</t>
        </is>
      </c>
      <c r="G122" t="inlineStr">
        <is>
          <t>Acuerdo por el cual dispensar la lectura del acta de la sesión celebrada por la comisión permanente el quince de agosto del año en curso</t>
        </is>
      </c>
      <c r="H122" t="n">
        <v>19</v>
      </c>
      <c r="I122" t="inlineStr">
        <is>
          <t>Internos del Congreso</t>
        </is>
      </c>
      <c r="J122" t="n">
        <v>41</v>
      </c>
      <c r="K122" t="n">
        <v>0</v>
      </c>
      <c r="L122" t="n">
        <v>0</v>
      </c>
      <c r="M122" t="n">
        <v>0</v>
      </c>
      <c r="N122">
        <f>SUM(J122:M122)</f>
        <v/>
      </c>
      <c r="O122" s="4">
        <f>SUM(J122:L122)/SUM(J122:M122)</f>
        <v/>
      </c>
      <c r="P122" s="5">
        <f>MAX(J122:L122)/SUM(J122:L122)</f>
        <v/>
      </c>
    </row>
    <row r="123">
      <c r="A123" t="inlineStr">
        <is>
          <t>Primer año</t>
        </is>
      </c>
      <c r="B123" t="inlineStr">
        <is>
          <t>Tercer periodo</t>
        </is>
      </c>
      <c r="C123" t="n">
        <v>20</v>
      </c>
      <c r="D123" t="n">
        <v>121</v>
      </c>
      <c r="E123" s="3" t="n">
        <v>45890</v>
      </c>
      <c r="F123" t="inlineStr">
        <is>
          <t>Punto de Acuerdo</t>
        </is>
      </c>
      <c r="G123" t="inlineStr">
        <is>
          <t>Acuerdo por el cual el contenido del acta de la sesión</t>
        </is>
      </c>
      <c r="H123" t="n">
        <v>19</v>
      </c>
      <c r="I123" t="inlineStr">
        <is>
          <t>Internos del Congreso</t>
        </is>
      </c>
      <c r="J123" t="n">
        <v>41</v>
      </c>
      <c r="K123" t="n">
        <v>0</v>
      </c>
      <c r="L123" t="n">
        <v>0</v>
      </c>
      <c r="M123" t="n">
        <v>0</v>
      </c>
      <c r="N123">
        <f>SUM(J123:M123)</f>
        <v/>
      </c>
      <c r="O123" s="4">
        <f>SUM(J123:L123)/SUM(J123:M123)</f>
        <v/>
      </c>
      <c r="P123" s="5">
        <f>MAX(J123:L123)/SUM(J123:L123)</f>
        <v/>
      </c>
    </row>
    <row r="124">
      <c r="A124" t="inlineStr">
        <is>
          <t>Primer año</t>
        </is>
      </c>
      <c r="B124" t="inlineStr">
        <is>
          <t>Tercer periodo</t>
        </is>
      </c>
      <c r="C124" t="n">
        <v>21</v>
      </c>
      <c r="D124" t="n">
        <v>122</v>
      </c>
      <c r="E124" s="3" t="n">
        <v>45897</v>
      </c>
      <c r="F124" t="inlineStr">
        <is>
          <t>Punto de Acuerdo</t>
        </is>
      </c>
      <c r="G124" t="inlineStr">
        <is>
          <t>Acuerdo por el cual se aprueba la dispensa de lectura del orden del día</t>
        </is>
      </c>
      <c r="H124" t="n">
        <v>19</v>
      </c>
      <c r="I124" t="inlineStr">
        <is>
          <t>Internos del Congreso</t>
        </is>
      </c>
      <c r="J124" t="n">
        <v>8</v>
      </c>
      <c r="K124" t="n">
        <v>0</v>
      </c>
      <c r="L124" t="n">
        <v>0</v>
      </c>
      <c r="M124" t="n">
        <v>0</v>
      </c>
      <c r="N124">
        <f>SUM(J124:M124)</f>
        <v/>
      </c>
      <c r="O124" s="4">
        <f>SUM(J124:L124)/SUM(J124:M124)</f>
        <v/>
      </c>
      <c r="P124" s="5">
        <f>MAX(J124:L124)/SUM(J124:L124)</f>
        <v/>
      </c>
    </row>
    <row r="125">
      <c r="A125" t="inlineStr">
        <is>
          <t>Primer año</t>
        </is>
      </c>
      <c r="B125" t="inlineStr">
        <is>
          <t>Tercer periodo</t>
        </is>
      </c>
      <c r="C125" t="n">
        <v>22</v>
      </c>
      <c r="D125" t="n">
        <v>123</v>
      </c>
      <c r="E125" s="3" t="n">
        <v>45897</v>
      </c>
      <c r="F125" t="inlineStr">
        <is>
          <t>Punto de Acuerdo</t>
        </is>
      </c>
      <c r="G125" t="inlineStr">
        <is>
          <t>Acuerdo por el cual se aprueba la dispensa de lectura de acta</t>
        </is>
      </c>
      <c r="H125" t="n">
        <v>19</v>
      </c>
      <c r="I125" t="inlineStr">
        <is>
          <t>Internos del Congreso</t>
        </is>
      </c>
      <c r="J125" t="n">
        <v>8</v>
      </c>
      <c r="K125" t="n">
        <v>0</v>
      </c>
      <c r="L125" t="n">
        <v>0</v>
      </c>
      <c r="M125" t="n">
        <v>0</v>
      </c>
      <c r="N125">
        <f>SUM(J125:M125)</f>
        <v/>
      </c>
      <c r="O125" s="4">
        <f>SUM(J125:L125)/SUM(J125:M125)</f>
        <v/>
      </c>
      <c r="P125" s="5">
        <f>MAX(J125:L125)/SUM(J125:L125)</f>
        <v/>
      </c>
    </row>
    <row r="126">
      <c r="A126" t="inlineStr">
        <is>
          <t>Primer año</t>
        </is>
      </c>
      <c r="B126" t="inlineStr">
        <is>
          <t>Tercer periodo</t>
        </is>
      </c>
      <c r="C126" t="n">
        <v>23</v>
      </c>
      <c r="D126" t="n">
        <v>124</v>
      </c>
      <c r="E126" s="3" t="n">
        <v>45897</v>
      </c>
      <c r="F126" t="inlineStr">
        <is>
          <t>Punto de Acuerdo</t>
        </is>
      </c>
      <c r="G126" t="inlineStr">
        <is>
          <t>Acuerdo por el cual se aprueba el contenido del acta</t>
        </is>
      </c>
      <c r="H126" t="n">
        <v>19</v>
      </c>
      <c r="I126" t="inlineStr">
        <is>
          <t>Internos del Congreso</t>
        </is>
      </c>
      <c r="J126" t="n">
        <v>8</v>
      </c>
      <c r="K126" t="n">
        <v>0</v>
      </c>
      <c r="L126" t="n">
        <v>0</v>
      </c>
      <c r="M126" t="n">
        <v>0</v>
      </c>
      <c r="N126">
        <f>SUM(J126:M126)</f>
        <v/>
      </c>
      <c r="O126" s="4">
        <f>SUM(J126:L126)/SUM(J126:M126)</f>
        <v/>
      </c>
      <c r="P126" s="5">
        <f>MAX(J126:L126)/SUM(J126:L126)</f>
        <v/>
      </c>
    </row>
    <row r="127">
      <c r="A127" t="inlineStr">
        <is>
          <t>Primer año</t>
        </is>
      </c>
      <c r="B127" t="inlineStr">
        <is>
          <t>Tercer periodo</t>
        </is>
      </c>
      <c r="C127" t="n">
        <v>24</v>
      </c>
      <c r="D127" t="n">
        <v>125</v>
      </c>
      <c r="E127" s="3" t="n">
        <v>45897</v>
      </c>
      <c r="F127" t="inlineStr">
        <is>
          <t>Punto de Acuerdo</t>
        </is>
      </c>
      <c r="G127" t="inlineStr">
        <is>
          <t>Acuerdo por el cual se aprueba la dispensa de lectura de los acuerdos del cuatro al doce</t>
        </is>
      </c>
      <c r="H127" t="n">
        <v>19</v>
      </c>
      <c r="I127" t="inlineStr">
        <is>
          <t>Internos del Congreso</t>
        </is>
      </c>
      <c r="J127" t="n">
        <v>8</v>
      </c>
      <c r="K127" t="n">
        <v>0</v>
      </c>
      <c r="L127" t="n">
        <v>0</v>
      </c>
      <c r="M127" t="n">
        <v>0</v>
      </c>
      <c r="N127">
        <f>SUM(J127:M127)</f>
        <v/>
      </c>
      <c r="O127" s="4">
        <f>SUM(J127:L127)/SUM(J127:M127)</f>
        <v/>
      </c>
      <c r="P127" s="5">
        <f>MAX(J127:L127)/SUM(J127:L127)</f>
        <v/>
      </c>
    </row>
    <row r="128">
      <c r="A128" t="inlineStr">
        <is>
          <t>Primer año</t>
        </is>
      </c>
      <c r="B128" t="inlineStr">
        <is>
          <t>Tercer periodo</t>
        </is>
      </c>
      <c r="C128" t="n">
        <v>25</v>
      </c>
      <c r="D128" t="n">
        <v>126</v>
      </c>
      <c r="E128" s="3" t="n">
        <v>45897</v>
      </c>
      <c r="F128" t="inlineStr">
        <is>
          <t>Punto de Acuerdo</t>
        </is>
      </c>
      <c r="G128" t="inlineStr">
        <is>
          <t>Acuerdo por el que se exhorta a los doscientos doce ayuntamientos y cinco concejos municipales</t>
        </is>
      </c>
      <c r="H128" t="n">
        <v>5</v>
      </c>
      <c r="I128" t="inlineStr">
        <is>
          <t>Medio Ambiente</t>
        </is>
      </c>
      <c r="J128" t="n">
        <v>8</v>
      </c>
      <c r="K128" t="n">
        <v>0</v>
      </c>
      <c r="L128" t="n">
        <v>0</v>
      </c>
      <c r="M128" t="n">
        <v>0</v>
      </c>
      <c r="N128">
        <f>SUM(J128:M128)</f>
        <v/>
      </c>
      <c r="O128" s="4">
        <f>SUM(J128:L128)/SUM(J128:M128)</f>
        <v/>
      </c>
      <c r="P128" s="5">
        <f>MAX(J128:L128)/SUM(J128:L128)</f>
        <v/>
      </c>
    </row>
    <row r="129">
      <c r="A129" t="inlineStr">
        <is>
          <t>Primer año</t>
        </is>
      </c>
      <c r="B129" t="inlineStr">
        <is>
          <t>Tercer periodo</t>
        </is>
      </c>
      <c r="C129" t="n">
        <v>26</v>
      </c>
      <c r="D129" t="n">
        <v>127</v>
      </c>
      <c r="E129" s="3" t="n">
        <v>45897</v>
      </c>
      <c r="F129" t="inlineStr">
        <is>
          <t>Punto de Acuerdo</t>
        </is>
      </c>
      <c r="G129" t="inlineStr">
        <is>
          <t>Acuerdo por el que se exhorta a la secretaría de educación pública para que, de manera coordinada con la secretaría de salud</t>
        </is>
      </c>
      <c r="H129" t="n">
        <v>6</v>
      </c>
      <c r="I129" t="inlineStr">
        <is>
          <t>Salud</t>
        </is>
      </c>
      <c r="J129" t="n">
        <v>8</v>
      </c>
      <c r="K129" t="n">
        <v>0</v>
      </c>
      <c r="L129" t="n">
        <v>0</v>
      </c>
      <c r="M129" t="n">
        <v>0</v>
      </c>
      <c r="N129">
        <f>SUM(J129:M129)</f>
        <v/>
      </c>
      <c r="O129" s="4">
        <f>SUM(J129:L129)/SUM(J129:M129)</f>
        <v/>
      </c>
      <c r="P129" s="5">
        <f>MAX(J129:L129)/SUM(J129:L129)</f>
        <v/>
      </c>
    </row>
    <row r="130">
      <c r="A130" t="inlineStr">
        <is>
          <t>Primer año</t>
        </is>
      </c>
      <c r="B130" t="inlineStr">
        <is>
          <t>Tercer periodo</t>
        </is>
      </c>
      <c r="C130" t="n">
        <v>27</v>
      </c>
      <c r="D130" t="n">
        <v>128</v>
      </c>
      <c r="E130" s="3" t="n">
        <v>45897</v>
      </c>
      <c r="F130" t="inlineStr">
        <is>
          <t>Punto de Acuerdo</t>
        </is>
      </c>
      <c r="G130" t="inlineStr">
        <is>
          <t>Acuerdo por el que se exhorta a la secretaría de educación pública para que, en coordinación con la secretaría de salud</t>
        </is>
      </c>
      <c r="H130" t="n">
        <v>6</v>
      </c>
      <c r="I130" t="inlineStr">
        <is>
          <t>Salud</t>
        </is>
      </c>
      <c r="J130" t="n">
        <v>8</v>
      </c>
      <c r="K130" t="n">
        <v>0</v>
      </c>
      <c r="L130" t="n">
        <v>0</v>
      </c>
      <c r="M130" t="n">
        <v>0</v>
      </c>
      <c r="N130">
        <f>SUM(J130:M130)</f>
        <v/>
      </c>
      <c r="O130" s="4">
        <f>SUM(J130:L130)/SUM(J130:M130)</f>
        <v/>
      </c>
      <c r="P130" s="5">
        <f>MAX(J130:L130)/SUM(J130:L130)</f>
        <v/>
      </c>
    </row>
    <row r="131">
      <c r="A131" t="inlineStr">
        <is>
          <t>Primer año</t>
        </is>
      </c>
      <c r="B131" t="inlineStr">
        <is>
          <t>Tercer periodo</t>
        </is>
      </c>
      <c r="C131" t="n">
        <v>28</v>
      </c>
      <c r="D131" t="n">
        <v>129</v>
      </c>
      <c r="E131" s="3" t="n">
        <v>45897</v>
      </c>
      <c r="F131" t="inlineStr">
        <is>
          <t>Punto de Acuerdo</t>
        </is>
      </c>
      <c r="G131" t="inlineStr">
        <is>
          <t>Acuerdo por el que se exhorta a la secretaría de desarrollo económico y trabajo del estado</t>
        </is>
      </c>
      <c r="H131" t="n">
        <v>1</v>
      </c>
      <c r="I131" t="inlineStr">
        <is>
          <t>Economía, Comercio y Competitividad</t>
        </is>
      </c>
      <c r="J131" t="n">
        <v>8</v>
      </c>
      <c r="K131" t="n">
        <v>0</v>
      </c>
      <c r="L131" t="n">
        <v>0</v>
      </c>
      <c r="M131" t="n">
        <v>0</v>
      </c>
      <c r="N131">
        <f>SUM(J131:M131)</f>
        <v/>
      </c>
      <c r="O131" s="4">
        <f>SUM(J131:L131)/SUM(J131:M131)</f>
        <v/>
      </c>
      <c r="P131" s="5">
        <f>MAX(J131:L131)/SUM(J131:L131)</f>
        <v/>
      </c>
    </row>
    <row r="132">
      <c r="A132" t="inlineStr">
        <is>
          <t>Primer año</t>
        </is>
      </c>
      <c r="B132" t="inlineStr">
        <is>
          <t>Tercer periodo</t>
        </is>
      </c>
      <c r="C132" t="n">
        <v>29</v>
      </c>
      <c r="D132" t="n">
        <v>130</v>
      </c>
      <c r="E132" s="3" t="n">
        <v>45897</v>
      </c>
      <c r="F132" t="inlineStr">
        <is>
          <t>Punto de Acuerdo</t>
        </is>
      </c>
      <c r="G132" t="inlineStr">
        <is>
          <t>Acuerdo por el que se exhorta a la secretaría de desarrollo económico y trabajo</t>
        </is>
      </c>
      <c r="H132" t="n">
        <v>16</v>
      </c>
      <c r="I132" t="inlineStr">
        <is>
          <t>Trabajo y Previsión Social</t>
        </is>
      </c>
      <c r="J132" t="n">
        <v>8</v>
      </c>
      <c r="K132" t="n">
        <v>0</v>
      </c>
      <c r="L132" t="n">
        <v>0</v>
      </c>
      <c r="M132" t="n">
        <v>0</v>
      </c>
      <c r="N132">
        <f>SUM(J132:M132)</f>
        <v/>
      </c>
      <c r="O132" s="4">
        <f>SUM(J132:L132)/SUM(J132:M132)</f>
        <v/>
      </c>
      <c r="P132" s="5">
        <f>MAX(J132:L132)/SUM(J132:L132)</f>
        <v/>
      </c>
    </row>
    <row r="133">
      <c r="A133" t="inlineStr">
        <is>
          <t>Primer año</t>
        </is>
      </c>
      <c r="B133" t="inlineStr">
        <is>
          <t>Tercer periodo</t>
        </is>
      </c>
      <c r="C133" t="n">
        <v>30</v>
      </c>
      <c r="D133" t="n">
        <v>131</v>
      </c>
      <c r="E133" s="3" t="n">
        <v>45897</v>
      </c>
      <c r="F133" t="inlineStr">
        <is>
          <t>Punto de Acuerdo</t>
        </is>
      </c>
      <c r="G133" t="inlineStr">
        <is>
          <t>Acuerdo por el que se exhorta al instituto poblano de los pueblos indígenas</t>
        </is>
      </c>
      <c r="H133" t="n">
        <v>2</v>
      </c>
      <c r="I133" t="inlineStr">
        <is>
          <t>Pobreza y Política Social</t>
        </is>
      </c>
      <c r="J133" t="n">
        <v>9</v>
      </c>
      <c r="K133" t="n">
        <v>0</v>
      </c>
      <c r="L133" t="n">
        <v>0</v>
      </c>
      <c r="M133" t="n">
        <v>0</v>
      </c>
      <c r="N133">
        <f>SUM(J133:M133)</f>
        <v/>
      </c>
      <c r="O133" s="4">
        <f>SUM(J133:L133)/SUM(J133:M133)</f>
        <v/>
      </c>
      <c r="P133" s="5">
        <f>MAX(J133:L133)/SUM(J133:L133)</f>
        <v/>
      </c>
    </row>
    <row r="134">
      <c r="A134" t="inlineStr">
        <is>
          <t>Primer año</t>
        </is>
      </c>
      <c r="B134" t="inlineStr">
        <is>
          <t>Tercer periodo</t>
        </is>
      </c>
      <c r="C134" t="n">
        <v>31</v>
      </c>
      <c r="D134" t="n">
        <v>132</v>
      </c>
      <c r="E134" s="3" t="n">
        <v>45897</v>
      </c>
      <c r="F134" t="inlineStr">
        <is>
          <t>Punto de Acuerdo</t>
        </is>
      </c>
      <c r="G134" t="inlineStr">
        <is>
          <t>Acuerdo por el que se exhorta a la secretaría de planeación, finanzas y administración del estado</t>
        </is>
      </c>
      <c r="H134" t="n">
        <v>7</v>
      </c>
      <c r="I134" t="inlineStr">
        <is>
          <t>Impuestos, Finanzas Públicas, Patrimonio estatal y municipal</t>
        </is>
      </c>
      <c r="J134" t="n">
        <v>9</v>
      </c>
      <c r="K134" t="n">
        <v>0</v>
      </c>
      <c r="L134" t="n">
        <v>0</v>
      </c>
      <c r="M134" t="n">
        <v>0</v>
      </c>
      <c r="N134">
        <f>SUM(J134:M134)</f>
        <v/>
      </c>
      <c r="O134" s="4">
        <f>SUM(J134:L134)/SUM(J134:M134)</f>
        <v/>
      </c>
      <c r="P134" s="5">
        <f>MAX(J134:L134)/SUM(J134:L134)</f>
        <v/>
      </c>
    </row>
    <row r="135">
      <c r="A135" t="inlineStr">
        <is>
          <t>Primer año</t>
        </is>
      </c>
      <c r="B135" t="inlineStr">
        <is>
          <t>Tercer periodo</t>
        </is>
      </c>
      <c r="C135" t="n">
        <v>32</v>
      </c>
      <c r="D135" t="n">
        <v>133</v>
      </c>
      <c r="E135" s="3" t="n">
        <v>45897</v>
      </c>
      <c r="F135" t="inlineStr">
        <is>
          <t>Punto de Acuerdo</t>
        </is>
      </c>
      <c r="G135" t="inlineStr">
        <is>
          <t>Acuerdo por el que se exhorta a las secretarías de arte y cultura; y a la de desarrollo turístico</t>
        </is>
      </c>
      <c r="H135" t="n">
        <v>8</v>
      </c>
      <c r="I135" t="inlineStr">
        <is>
          <t>Educación y Cultura</t>
        </is>
      </c>
      <c r="J135" t="n">
        <v>9</v>
      </c>
      <c r="K135" t="n">
        <v>0</v>
      </c>
      <c r="L135" t="n">
        <v>0</v>
      </c>
      <c r="M135" t="n">
        <v>0</v>
      </c>
      <c r="N135">
        <f>SUM(J135:M135)</f>
        <v/>
      </c>
      <c r="O135" s="4">
        <f>SUM(J135:L135)/SUM(J135:M135)</f>
        <v/>
      </c>
      <c r="P135" s="5">
        <f>MAX(J135:L135)/SUM(J135:L135)</f>
        <v/>
      </c>
    </row>
    <row r="136">
      <c r="A136" t="inlineStr">
        <is>
          <t>Primer año</t>
        </is>
      </c>
      <c r="B136" t="inlineStr">
        <is>
          <t>Tercer periodo</t>
        </is>
      </c>
      <c r="C136" t="n">
        <v>33</v>
      </c>
      <c r="D136" t="n">
        <v>134</v>
      </c>
      <c r="E136" s="3" t="n">
        <v>45897</v>
      </c>
      <c r="F136" t="inlineStr">
        <is>
          <t>Punto de Acuerdo</t>
        </is>
      </c>
      <c r="G136" t="inlineStr">
        <is>
          <t>Acuerdo por el que se exhorta a la secretaría de arte y cultura del estado</t>
        </is>
      </c>
      <c r="H136" t="n">
        <v>8</v>
      </c>
      <c r="I136" t="inlineStr">
        <is>
          <t>Educación y Cultura</t>
        </is>
      </c>
      <c r="J136" t="n">
        <v>9</v>
      </c>
      <c r="K136" t="n">
        <v>0</v>
      </c>
      <c r="L136" t="n">
        <v>0</v>
      </c>
      <c r="M136" t="n">
        <v>0</v>
      </c>
      <c r="N136">
        <f>SUM(J136:M136)</f>
        <v/>
      </c>
      <c r="O136" s="4">
        <f>SUM(J136:L136)/SUM(J136:M136)</f>
        <v/>
      </c>
      <c r="P136" s="5">
        <f>MAX(J136:L136)/SUM(J136:L136)</f>
        <v/>
      </c>
    </row>
    <row r="137">
      <c r="A137" t="inlineStr">
        <is>
          <t>Primer año</t>
        </is>
      </c>
      <c r="B137" t="inlineStr">
        <is>
          <t>Tercer periodo</t>
        </is>
      </c>
      <c r="C137" t="n">
        <v>34</v>
      </c>
      <c r="D137" t="n">
        <v>135</v>
      </c>
      <c r="E137" s="3" t="n">
        <v>45904</v>
      </c>
      <c r="F137" t="inlineStr">
        <is>
          <t>Punto de Acuerdo</t>
        </is>
      </c>
      <c r="G137" t="inlineStr">
        <is>
          <t>Acuerdo por el que se exhorta al sistema operador de los servicios de agua potable y al alcantarillado del municipio de y al consorcio “agua de para todos” concesiones integrales, s.a de c.v.</t>
        </is>
      </c>
      <c r="H137" t="n">
        <v>11</v>
      </c>
      <c r="I137" t="inlineStr">
        <is>
          <t>Infraestructura, Movilidad y Transporte</t>
        </is>
      </c>
      <c r="J137" t="n">
        <v>9</v>
      </c>
      <c r="K137" t="n">
        <v>0</v>
      </c>
      <c r="L137" t="n">
        <v>0</v>
      </c>
      <c r="M137" t="n">
        <v>0</v>
      </c>
      <c r="N137">
        <f>SUM(J137:M137)</f>
        <v/>
      </c>
      <c r="O137" s="4">
        <f>SUM(J137:L137)/SUM(J137:M137)</f>
        <v/>
      </c>
      <c r="P137" s="5">
        <f>MAX(J137:L137)/SUM(J137:L137)</f>
        <v/>
      </c>
    </row>
    <row r="138">
      <c r="A138" t="inlineStr">
        <is>
          <t>Primer año</t>
        </is>
      </c>
      <c r="B138" t="inlineStr">
        <is>
          <t>Tercer periodo</t>
        </is>
      </c>
      <c r="C138" t="n">
        <v>35</v>
      </c>
      <c r="D138" t="n">
        <v>136</v>
      </c>
      <c r="E138" s="3" t="n">
        <v>45904</v>
      </c>
      <c r="F138" t="inlineStr">
        <is>
          <t>Punto de Acuerdo</t>
        </is>
      </c>
      <c r="G138" t="inlineStr">
        <is>
          <t>Acuerdo por el que se exhorta a los doscientos doce ayuntamientos y a los cinco concejos municipales del estado</t>
        </is>
      </c>
      <c r="H138" t="n">
        <v>18</v>
      </c>
      <c r="I138" t="inlineStr">
        <is>
          <t>Administración Pública</t>
        </is>
      </c>
      <c r="J138" t="n">
        <v>9</v>
      </c>
      <c r="K138" t="n">
        <v>0</v>
      </c>
      <c r="L138" t="n">
        <v>0</v>
      </c>
      <c r="M138" t="n">
        <v>0</v>
      </c>
      <c r="N138">
        <f>SUM(J138:M138)</f>
        <v/>
      </c>
      <c r="O138" s="4">
        <f>SUM(J138:L138)/SUM(J138:M138)</f>
        <v/>
      </c>
      <c r="P138" s="5">
        <f>MAX(J138:L138)/SUM(J138:L138)</f>
        <v/>
      </c>
    </row>
    <row r="139">
      <c r="A139" t="inlineStr">
        <is>
          <t>Primer año</t>
        </is>
      </c>
      <c r="B139" t="inlineStr">
        <is>
          <t>Tercer periodo</t>
        </is>
      </c>
      <c r="C139" t="n">
        <v>36</v>
      </c>
      <c r="D139" t="n">
        <v>137</v>
      </c>
      <c r="E139" s="3" t="n">
        <v>45904</v>
      </c>
      <c r="F139" t="inlineStr">
        <is>
          <t>Punto de Acuerdo</t>
        </is>
      </c>
      <c r="G139" t="inlineStr">
        <is>
          <t>Acuerdo por el que se exhorta a las secretarías de educación pública, y a la de ciencia, humanidades, tecnología e innovación</t>
        </is>
      </c>
      <c r="H139" t="n">
        <v>8</v>
      </c>
      <c r="I139" t="inlineStr">
        <is>
          <t>Educación y Cultura</t>
        </is>
      </c>
      <c r="J139" t="n">
        <v>9</v>
      </c>
      <c r="K139" t="n">
        <v>0</v>
      </c>
      <c r="L139" t="n">
        <v>0</v>
      </c>
      <c r="M139" t="n">
        <v>0</v>
      </c>
      <c r="N139">
        <f>SUM(J139:M139)</f>
        <v/>
      </c>
      <c r="O139" s="4">
        <f>SUM(J139:L139)/SUM(J139:M139)</f>
        <v/>
      </c>
      <c r="P139" s="5">
        <f>MAX(J139:L139)/SUM(J139:L139)</f>
        <v/>
      </c>
    </row>
    <row r="140">
      <c r="A140" t="inlineStr">
        <is>
          <t>Primer año</t>
        </is>
      </c>
      <c r="B140" t="inlineStr">
        <is>
          <t>Tercer periodo</t>
        </is>
      </c>
      <c r="C140" t="n">
        <v>37</v>
      </c>
      <c r="D140" t="n">
        <v>138</v>
      </c>
      <c r="E140" s="3" t="n">
        <v>45904</v>
      </c>
      <c r="F140" t="inlineStr">
        <is>
          <t>Punto de Acuerdo</t>
        </is>
      </c>
      <c r="G140" t="inlineStr">
        <is>
          <t>Acuerdo por el que se exhorta a la secretaría de salud del estado</t>
        </is>
      </c>
      <c r="H140" t="n">
        <v>6</v>
      </c>
      <c r="I140" t="inlineStr">
        <is>
          <t>Salud</t>
        </is>
      </c>
      <c r="J140" t="n">
        <v>9</v>
      </c>
      <c r="K140" t="n">
        <v>0</v>
      </c>
      <c r="L140" t="n">
        <v>0</v>
      </c>
      <c r="M140" t="n">
        <v>0</v>
      </c>
      <c r="N140">
        <f>SUM(J140:M140)</f>
        <v/>
      </c>
      <c r="O140" s="4">
        <f>SUM(J140:L140)/SUM(J140:M140)</f>
        <v/>
      </c>
      <c r="P140" s="5">
        <f>MAX(J140:L140)/SUM(J140:L140)</f>
        <v/>
      </c>
    </row>
    <row r="141">
      <c r="A141" t="inlineStr">
        <is>
          <t>Primer año</t>
        </is>
      </c>
      <c r="B141" t="inlineStr">
        <is>
          <t>Tercer periodo</t>
        </is>
      </c>
      <c r="C141" t="n">
        <v>38</v>
      </c>
      <c r="D141" t="n">
        <v>139</v>
      </c>
      <c r="E141" s="3" t="n">
        <v>45904</v>
      </c>
      <c r="F141" t="inlineStr">
        <is>
          <t>Punto de Acuerdo</t>
        </is>
      </c>
      <c r="G141" t="inlineStr">
        <is>
          <t>Acuerdo por el que se exhorta a la secretaría de salud del estado y al instituto de seguridad y servicios sociales de los trabajadores al servicio de los poderes del estado de</t>
        </is>
      </c>
      <c r="H141" t="n">
        <v>6</v>
      </c>
      <c r="I141" t="inlineStr">
        <is>
          <t>Salud</t>
        </is>
      </c>
      <c r="J141" t="n">
        <v>9</v>
      </c>
      <c r="K141" t="n">
        <v>0</v>
      </c>
      <c r="L141" t="n">
        <v>0</v>
      </c>
      <c r="M141" t="n">
        <v>0</v>
      </c>
      <c r="N141">
        <f>SUM(J141:M141)</f>
        <v/>
      </c>
      <c r="O141" s="4">
        <f>SUM(J141:L141)/SUM(J141:M141)</f>
        <v/>
      </c>
      <c r="P141" s="5">
        <f>MAX(J141:L141)/SUM(J141:L141)</f>
        <v/>
      </c>
    </row>
    <row r="142">
      <c r="A142" t="inlineStr">
        <is>
          <t>Primer año</t>
        </is>
      </c>
      <c r="B142" t="inlineStr">
        <is>
          <t>Tercer periodo</t>
        </is>
      </c>
      <c r="C142" t="n">
        <v>39</v>
      </c>
      <c r="D142" t="n">
        <v>140</v>
      </c>
      <c r="E142" s="3" t="n">
        <v>45904</v>
      </c>
      <c r="F142" t="inlineStr">
        <is>
          <t>Punto de Acuerdo</t>
        </is>
      </c>
      <c r="G142" t="inlineStr">
        <is>
          <t>Acuerdo por el que se exhorta a la secretaría de gobernación del estado</t>
        </is>
      </c>
      <c r="H142" t="n">
        <v>14</v>
      </c>
      <c r="I142" t="inlineStr">
        <is>
          <t>Justicia y Estado de Derecho</t>
        </is>
      </c>
      <c r="J142" t="n">
        <v>9</v>
      </c>
      <c r="K142" t="n">
        <v>0</v>
      </c>
      <c r="L142" t="n">
        <v>0</v>
      </c>
      <c r="M142" t="n">
        <v>0</v>
      </c>
      <c r="N142">
        <f>SUM(J142:M142)</f>
        <v/>
      </c>
      <c r="O142" s="4">
        <f>SUM(J142:L142)/SUM(J142:M142)</f>
        <v/>
      </c>
      <c r="P142" s="5">
        <f>MAX(J142:L142)/SUM(J142:L142)</f>
        <v/>
      </c>
    </row>
    <row r="143">
      <c r="A143" t="inlineStr">
        <is>
          <t>Primer año</t>
        </is>
      </c>
      <c r="B143" t="inlineStr">
        <is>
          <t>Tercer periodo</t>
        </is>
      </c>
      <c r="C143" t="n">
        <v>40</v>
      </c>
      <c r="D143" t="n">
        <v>141</v>
      </c>
      <c r="E143" s="3" t="n">
        <v>45904</v>
      </c>
      <c r="F143" t="inlineStr">
        <is>
          <t>Punto de Acuerdo</t>
        </is>
      </c>
      <c r="G143" t="inlineStr">
        <is>
          <t>Acuerdo por el que se exhorta a la dirección general del registro del estado civil de las personas y a la secretaría de planeación, finanzas y administración</t>
        </is>
      </c>
      <c r="H143" t="n">
        <v>18</v>
      </c>
      <c r="I143" t="inlineStr">
        <is>
          <t>Administración Pública</t>
        </is>
      </c>
      <c r="J143" t="n">
        <v>9</v>
      </c>
      <c r="K143" t="n">
        <v>0</v>
      </c>
      <c r="L143" t="n">
        <v>0</v>
      </c>
      <c r="M143" t="n">
        <v>0</v>
      </c>
      <c r="N143">
        <f>SUM(J143:M143)</f>
        <v/>
      </c>
      <c r="O143" s="4">
        <f>SUM(J143:L143)/SUM(J143:M143)</f>
        <v/>
      </c>
      <c r="P143" s="5">
        <f>MAX(J143:L143)/SUM(J143:L143)</f>
        <v/>
      </c>
    </row>
    <row r="144">
      <c r="A144" t="inlineStr">
        <is>
          <t>Primer año</t>
        </is>
      </c>
      <c r="B144" t="inlineStr">
        <is>
          <t>Tercer periodo</t>
        </is>
      </c>
      <c r="C144" t="n">
        <v>41</v>
      </c>
      <c r="D144" t="n">
        <v>142</v>
      </c>
      <c r="E144" s="3" t="n">
        <v>45904</v>
      </c>
      <c r="F144" t="inlineStr">
        <is>
          <t>Punto de Acuerdo</t>
        </is>
      </c>
      <c r="G144" t="inlineStr">
        <is>
          <t>Acuerdo por el que se exhorta a los doscientos doce ayuntamientos y a los cinco concejos municipales del estado</t>
        </is>
      </c>
      <c r="H144" t="n">
        <v>16</v>
      </c>
      <c r="I144" t="inlineStr">
        <is>
          <t>Trabajo y Previsión Social</t>
        </is>
      </c>
      <c r="J144" t="n">
        <v>9</v>
      </c>
      <c r="K144" t="n">
        <v>0</v>
      </c>
      <c r="L144" t="n">
        <v>0</v>
      </c>
      <c r="M144" t="n">
        <v>0</v>
      </c>
      <c r="N144">
        <f>SUM(J144:M144)</f>
        <v/>
      </c>
      <c r="O144" s="4">
        <f>SUM(J144:L144)/SUM(J144:M144)</f>
        <v/>
      </c>
      <c r="P144" s="5">
        <f>MAX(J144:L144)/SUM(J144:L144)</f>
        <v/>
      </c>
    </row>
    <row r="145">
      <c r="A145" t="inlineStr">
        <is>
          <t>Primer año</t>
        </is>
      </c>
      <c r="B145" t="inlineStr">
        <is>
          <t>Tercer periodo</t>
        </is>
      </c>
      <c r="C145" t="n">
        <v>42</v>
      </c>
      <c r="D145" t="n">
        <v>143</v>
      </c>
      <c r="E145" s="3" t="n">
        <v>45904</v>
      </c>
      <c r="F145" t="inlineStr">
        <is>
          <t>Punto de Acuerdo</t>
        </is>
      </c>
      <c r="G145" t="inlineStr">
        <is>
          <t>Acuerdo por el que se exhorta a los doscientos doce ayuntamientos y a los cinco concejos municipales del estado</t>
        </is>
      </c>
      <c r="H145" t="n">
        <v>8</v>
      </c>
      <c r="I145" t="inlineStr">
        <is>
          <t>Educación y Cultura</t>
        </is>
      </c>
      <c r="J145" t="n">
        <v>9</v>
      </c>
      <c r="K145" t="n">
        <v>0</v>
      </c>
      <c r="L145" t="n">
        <v>0</v>
      </c>
      <c r="M145" t="n">
        <v>0</v>
      </c>
      <c r="N145">
        <f>SUM(J145:M145)</f>
        <v/>
      </c>
      <c r="O145" s="4">
        <f>SUM(J145:L145)/SUM(J145:M145)</f>
        <v/>
      </c>
      <c r="P145" s="5">
        <f>MAX(J145:L145)/SUM(J145:L145)</f>
        <v/>
      </c>
    </row>
    <row r="146">
      <c r="A146" t="inlineStr">
        <is>
          <t>Primer año</t>
        </is>
      </c>
      <c r="B146" t="inlineStr">
        <is>
          <t>Tercer periodo</t>
        </is>
      </c>
      <c r="C146" t="n">
        <v>43</v>
      </c>
      <c r="D146" t="n">
        <v>144</v>
      </c>
      <c r="E146" s="3" t="n">
        <v>45904</v>
      </c>
      <c r="F146" t="inlineStr">
        <is>
          <t>Punto de Acuerdo</t>
        </is>
      </c>
      <c r="G146" t="inlineStr">
        <is>
          <t>Acuerdo por el que se exhorta a los doscientos doce ayuntamientos y cinco concejos municipales de la entidad</t>
        </is>
      </c>
      <c r="H146" t="n">
        <v>20</v>
      </c>
      <c r="I146" t="inlineStr">
        <is>
          <t>Justicia y Estado de Derecho en temas de Mujeres</t>
        </is>
      </c>
      <c r="J146" t="n">
        <v>9</v>
      </c>
      <c r="K146" t="n">
        <v>0</v>
      </c>
      <c r="L146" t="n">
        <v>0</v>
      </c>
      <c r="M146" t="n">
        <v>0</v>
      </c>
      <c r="N146">
        <f>SUM(J146:M146)</f>
        <v/>
      </c>
      <c r="O146" s="4">
        <f>SUM(J146:L146)/SUM(J146:M146)</f>
        <v/>
      </c>
      <c r="P146" s="5">
        <f>MAX(J146:L146)/SUM(J146:L146)</f>
        <v/>
      </c>
    </row>
    <row r="147">
      <c r="A147" t="inlineStr">
        <is>
          <t>Primer año</t>
        </is>
      </c>
      <c r="B147" t="inlineStr">
        <is>
          <t>Tercer periodo</t>
        </is>
      </c>
      <c r="C147" t="n">
        <v>44</v>
      </c>
      <c r="D147" t="n">
        <v>145</v>
      </c>
      <c r="E147" s="3" t="n">
        <v>45904</v>
      </c>
      <c r="F147" t="inlineStr">
        <is>
          <t>Punto de Acuerdo</t>
        </is>
      </c>
      <c r="G147" t="inlineStr">
        <is>
          <t>Acuerdo por el que se exhorta a la secretaría de desarrollo turístico del estado de</t>
        </is>
      </c>
      <c r="H147" t="n">
        <v>1</v>
      </c>
      <c r="I147" t="inlineStr">
        <is>
          <t>Economía, Comercio y Competitividad</t>
        </is>
      </c>
      <c r="J147" t="n">
        <v>9</v>
      </c>
      <c r="K147" t="n">
        <v>0</v>
      </c>
      <c r="L147" t="n">
        <v>0</v>
      </c>
      <c r="M147" t="n">
        <v>0</v>
      </c>
      <c r="N147">
        <f>SUM(J147:M147)</f>
        <v/>
      </c>
      <c r="O147" s="4">
        <f>SUM(J147:L147)/SUM(J147:M147)</f>
        <v/>
      </c>
      <c r="P147" s="5">
        <f>MAX(J147:L147)/SUM(J147:L147)</f>
        <v/>
      </c>
    </row>
    <row r="148">
      <c r="A148" t="inlineStr">
        <is>
          <t>Primer año</t>
        </is>
      </c>
      <c r="B148" t="inlineStr">
        <is>
          <t>Tercer periodo</t>
        </is>
      </c>
      <c r="C148" t="n">
        <v>45</v>
      </c>
      <c r="D148" t="n">
        <v>146</v>
      </c>
      <c r="E148" s="3" t="n">
        <v>45904</v>
      </c>
      <c r="F148" t="inlineStr">
        <is>
          <t>Punto de Acuerdo</t>
        </is>
      </c>
      <c r="G148" t="inlineStr">
        <is>
          <t>Acuerdo por el que se exhorta a la secretaría de movilidad y transporte del estado</t>
        </is>
      </c>
      <c r="H148" t="n">
        <v>11</v>
      </c>
      <c r="I148" t="inlineStr">
        <is>
          <t>Infraestructura, Movilidad y Transporte</t>
        </is>
      </c>
      <c r="J148" t="n">
        <v>9</v>
      </c>
      <c r="K148" t="n">
        <v>0</v>
      </c>
      <c r="L148" t="n">
        <v>0</v>
      </c>
      <c r="M148" t="n">
        <v>0</v>
      </c>
      <c r="N148">
        <f>SUM(J148:M148)</f>
        <v/>
      </c>
      <c r="O148" s="4">
        <f>SUM(J148:L148)/SUM(J148:M148)</f>
        <v/>
      </c>
      <c r="P148" s="5">
        <f>MAX(J148:L148)/SUM(J148:L148)</f>
        <v/>
      </c>
    </row>
    <row r="149">
      <c r="A149" t="inlineStr">
        <is>
          <t>Primer año</t>
        </is>
      </c>
      <c r="B149" t="inlineStr">
        <is>
          <t>Tercer periodo</t>
        </is>
      </c>
      <c r="C149" t="n">
        <v>46</v>
      </c>
      <c r="D149" t="n">
        <v>147</v>
      </c>
      <c r="E149" s="3" t="n">
        <v>45904</v>
      </c>
      <c r="F149" t="inlineStr">
        <is>
          <t>Punto de Acuerdo</t>
        </is>
      </c>
      <c r="G149" t="inlineStr">
        <is>
          <t>Acuerdo por el que se exhorta a la secretaría de movilidad y transportes del estado</t>
        </is>
      </c>
      <c r="H149" t="n">
        <v>11</v>
      </c>
      <c r="I149" t="inlineStr">
        <is>
          <t>Infraestructura, Movilidad y Transporte</t>
        </is>
      </c>
      <c r="J149" t="n">
        <v>9</v>
      </c>
      <c r="K149" t="n">
        <v>0</v>
      </c>
      <c r="L149" t="n">
        <v>0</v>
      </c>
      <c r="M149" t="n">
        <v>0</v>
      </c>
      <c r="N149">
        <f>SUM(J149:M149)</f>
        <v/>
      </c>
      <c r="O149" s="4">
        <f>SUM(J149:L149)/SUM(J149:M149)</f>
        <v/>
      </c>
      <c r="P149" s="5">
        <f>MAX(J149:L149)/SUM(J149:L149)</f>
        <v/>
      </c>
    </row>
    <row r="150">
      <c r="A150" t="inlineStr">
        <is>
          <t>Primer año</t>
        </is>
      </c>
      <c r="B150" t="inlineStr">
        <is>
          <t>Tercer periodo</t>
        </is>
      </c>
      <c r="C150" t="n">
        <v>47</v>
      </c>
      <c r="D150" t="n">
        <v>148</v>
      </c>
      <c r="E150" s="3" t="n">
        <v>45904</v>
      </c>
      <c r="F150" t="inlineStr">
        <is>
          <t>Punto de Acuerdo</t>
        </is>
      </c>
      <c r="G150" t="inlineStr">
        <is>
          <t>Acuerdo por el que se exhorta a los doscientos doce ayuntamientos y a los cinco concejos municipales del estado</t>
        </is>
      </c>
      <c r="H150" t="n">
        <v>11</v>
      </c>
      <c r="I150" t="inlineStr">
        <is>
          <t>Infraestructura, Movilidad y Transporte</t>
        </is>
      </c>
      <c r="J150" t="n">
        <v>9</v>
      </c>
      <c r="K150" t="n">
        <v>0</v>
      </c>
      <c r="L150" t="n">
        <v>0</v>
      </c>
      <c r="M150" t="n">
        <v>0</v>
      </c>
      <c r="N150">
        <f>SUM(J150:M150)</f>
        <v/>
      </c>
      <c r="O150" s="4">
        <f>SUM(J150:L150)/SUM(J150:M150)</f>
        <v/>
      </c>
      <c r="P150" s="5">
        <f>MAX(J150:L150)/SUM(J150:L150)</f>
        <v/>
      </c>
    </row>
    <row r="151">
      <c r="A151" t="inlineStr">
        <is>
          <t>Primer año</t>
        </is>
      </c>
      <c r="B151" t="inlineStr">
        <is>
          <t>Tercer periodo</t>
        </is>
      </c>
      <c r="C151" t="n">
        <v>48</v>
      </c>
      <c r="D151" t="n">
        <v>149</v>
      </c>
      <c r="E151" s="3" t="n">
        <v>45904</v>
      </c>
      <c r="F151" t="inlineStr">
        <is>
          <t>Punto de Acuerdo</t>
        </is>
      </c>
      <c r="G151" t="inlineStr">
        <is>
          <t>Acuerdo por el que se exhorta a los doscientos doce ayuntamientos y los cinco concejos municipales del estado</t>
        </is>
      </c>
      <c r="H151" t="n">
        <v>3</v>
      </c>
      <c r="I151" t="inlineStr">
        <is>
          <t>Seguridad Pública, Protección Civil y Narcotráfico</t>
        </is>
      </c>
      <c r="J151" t="n">
        <v>9</v>
      </c>
      <c r="K151" t="n">
        <v>0</v>
      </c>
      <c r="L151" t="n">
        <v>0</v>
      </c>
      <c r="M151" t="n">
        <v>0</v>
      </c>
      <c r="N151">
        <f>SUM(J151:M151)</f>
        <v/>
      </c>
      <c r="O151" s="4">
        <f>SUM(J151:L151)/SUM(J151:M151)</f>
        <v/>
      </c>
      <c r="P151" s="5">
        <f>MAX(J151:L151)/SUM(J151:L151)</f>
        <v/>
      </c>
    </row>
    <row r="152">
      <c r="A152" t="inlineStr">
        <is>
          <t>Primer año</t>
        </is>
      </c>
      <c r="B152" t="inlineStr">
        <is>
          <t>Tercer periodo</t>
        </is>
      </c>
      <c r="C152" t="n">
        <v>49</v>
      </c>
      <c r="D152" t="n">
        <v>150</v>
      </c>
      <c r="E152" s="3" t="n">
        <v>45904</v>
      </c>
      <c r="F152" t="inlineStr">
        <is>
          <t>Punto de Acuerdo</t>
        </is>
      </c>
      <c r="G152" t="inlineStr">
        <is>
          <t>Acuerdo por el que se exhorta a los sistemas municipales de protección civil de los doscientos doce ayuntamientos y los cinco concejos municipales del estado</t>
        </is>
      </c>
      <c r="H152" t="n">
        <v>3</v>
      </c>
      <c r="I152" t="inlineStr">
        <is>
          <t>Seguridad Pública, Protección Civil y Narcotráfico</t>
        </is>
      </c>
      <c r="J152" t="n">
        <v>9</v>
      </c>
      <c r="K152" t="n">
        <v>0</v>
      </c>
      <c r="L152" t="n">
        <v>0</v>
      </c>
      <c r="M152" t="n">
        <v>0</v>
      </c>
      <c r="N152">
        <f>SUM(J152:M152)</f>
        <v/>
      </c>
      <c r="O152" s="4">
        <f>SUM(J152:L152)/SUM(J152:M152)</f>
        <v/>
      </c>
      <c r="P152" s="5">
        <f>MAX(J152:L152)/SUM(J152:L152)</f>
        <v/>
      </c>
    </row>
    <row r="153">
      <c r="A153" t="inlineStr">
        <is>
          <t>Primer año</t>
        </is>
      </c>
      <c r="B153" t="inlineStr">
        <is>
          <t>Tercer periodo</t>
        </is>
      </c>
      <c r="C153" t="n">
        <v>50</v>
      </c>
      <c r="D153" t="n">
        <v>151</v>
      </c>
      <c r="E153" s="3" t="n">
        <v>45904</v>
      </c>
      <c r="F153" t="inlineStr">
        <is>
          <t>Punto de Acuerdo</t>
        </is>
      </c>
      <c r="G153" t="inlineStr">
        <is>
          <t>Acuerdo por el que se exhorta a los doscientos doce ayuntamientos y los cinco consejos municipales del estado</t>
        </is>
      </c>
      <c r="H153" t="n">
        <v>2</v>
      </c>
      <c r="I153" t="inlineStr">
        <is>
          <t>Pobreza y Política Social</t>
        </is>
      </c>
      <c r="J153" t="n">
        <v>9</v>
      </c>
      <c r="K153" t="n">
        <v>0</v>
      </c>
      <c r="L153" t="n">
        <v>0</v>
      </c>
      <c r="M153" t="n">
        <v>0</v>
      </c>
      <c r="N153">
        <f>SUM(J153:M153)</f>
        <v/>
      </c>
      <c r="O153" s="4">
        <f>SUM(J153:L153)/SUM(J153:M153)</f>
        <v/>
      </c>
      <c r="P153" s="5">
        <f>MAX(J153:L153)/SUM(J153:L153)</f>
        <v/>
      </c>
    </row>
    <row r="154">
      <c r="A154" t="inlineStr">
        <is>
          <t>Primer año</t>
        </is>
      </c>
      <c r="B154" t="inlineStr">
        <is>
          <t>Tercer periodo</t>
        </is>
      </c>
      <c r="C154" t="n">
        <v>51</v>
      </c>
      <c r="D154" t="n">
        <v>152</v>
      </c>
      <c r="E154" s="3" t="n">
        <v>45904</v>
      </c>
      <c r="F154" t="inlineStr">
        <is>
          <t>Punto de Acuerdo</t>
        </is>
      </c>
      <c r="G154" t="inlineStr">
        <is>
          <t>Acuerdo por el que se exhorta a los doscientos doce ayuntamientos y cinco concejos municipales del estado</t>
        </is>
      </c>
      <c r="H154" t="n">
        <v>11</v>
      </c>
      <c r="I154" t="inlineStr">
        <is>
          <t>Infraestructura, Movilidad y Transporte</t>
        </is>
      </c>
      <c r="J154" t="n">
        <v>9</v>
      </c>
      <c r="K154" t="n">
        <v>0</v>
      </c>
      <c r="L154" t="n">
        <v>0</v>
      </c>
      <c r="M154" t="n">
        <v>0</v>
      </c>
      <c r="N154">
        <f>SUM(J154:M154)</f>
        <v/>
      </c>
      <c r="O154" s="4">
        <f>SUM(J154:L154)/SUM(J154:M154)</f>
        <v/>
      </c>
      <c r="P154" s="5">
        <f>MAX(J154:L154)/SUM(J154:L154)</f>
        <v/>
      </c>
    </row>
    <row r="155">
      <c r="A155" t="inlineStr">
        <is>
          <t>Primer año</t>
        </is>
      </c>
      <c r="B155" t="inlineStr">
        <is>
          <t>Tercer periodo</t>
        </is>
      </c>
      <c r="C155" t="n">
        <v>52</v>
      </c>
      <c r="D155" t="n">
        <v>153</v>
      </c>
      <c r="E155" s="3" t="n">
        <v>45904</v>
      </c>
      <c r="F155" t="inlineStr">
        <is>
          <t>Punto de Acuerdo</t>
        </is>
      </c>
      <c r="G155" t="inlineStr">
        <is>
          <t>Acuerdo por el que se exhorta a los doscientos doce ayuntamientos y cinco concejos municipales del estado</t>
        </is>
      </c>
      <c r="H155" t="n">
        <v>10</v>
      </c>
      <c r="I155" t="inlineStr">
        <is>
          <t>Transparencia y Rendición de Cuentas</t>
        </is>
      </c>
      <c r="J155" t="n">
        <v>9</v>
      </c>
      <c r="K155" t="n">
        <v>0</v>
      </c>
      <c r="L155" t="n">
        <v>0</v>
      </c>
      <c r="M155" t="n">
        <v>0</v>
      </c>
      <c r="N155">
        <f>SUM(J155:M155)</f>
        <v/>
      </c>
      <c r="O155" s="4">
        <f>SUM(J155:L155)/SUM(J155:M155)</f>
        <v/>
      </c>
      <c r="P155" s="5">
        <f>MAX(J155:L155)/SUM(J155:L155)</f>
        <v/>
      </c>
    </row>
    <row r="156">
      <c r="A156" t="inlineStr">
        <is>
          <t>Primer año</t>
        </is>
      </c>
      <c r="B156" t="inlineStr">
        <is>
          <t>Tercer periodo</t>
        </is>
      </c>
      <c r="C156" t="n">
        <v>53</v>
      </c>
      <c r="D156" t="n">
        <v>154</v>
      </c>
      <c r="E156" s="3" t="n">
        <v>45904</v>
      </c>
      <c r="F156" t="inlineStr">
        <is>
          <t>Punto de Acuerdo</t>
        </is>
      </c>
      <c r="G156" t="inlineStr">
        <is>
          <t>Acuerdo por el que se exhorta a los doscientos doce ayuntamientos y cinco concejos municipales del estado</t>
        </is>
      </c>
      <c r="H156" t="n">
        <v>20</v>
      </c>
      <c r="I156" t="inlineStr">
        <is>
          <t>Justicia y Estado de Derecho en temas de Mujeres</t>
        </is>
      </c>
      <c r="J156" t="n">
        <v>9</v>
      </c>
      <c r="K156" t="n">
        <v>0</v>
      </c>
      <c r="L156" t="n">
        <v>0</v>
      </c>
      <c r="M156" t="n">
        <v>0</v>
      </c>
      <c r="N156">
        <f>SUM(J156:M156)</f>
        <v/>
      </c>
      <c r="O156" s="4">
        <f>SUM(J156:L156)/SUM(J156:M156)</f>
        <v/>
      </c>
      <c r="P156" s="5">
        <f>MAX(J156:L156)/SUM(J156:L156)</f>
        <v/>
      </c>
    </row>
    <row r="157">
      <c r="A157" t="inlineStr">
        <is>
          <t>Primer año</t>
        </is>
      </c>
      <c r="B157" t="inlineStr">
        <is>
          <t>Tercer periodo</t>
        </is>
      </c>
      <c r="C157" t="n">
        <v>54</v>
      </c>
      <c r="D157" t="n">
        <v>155</v>
      </c>
      <c r="E157" s="3" t="n">
        <v>45904</v>
      </c>
      <c r="F157" t="inlineStr">
        <is>
          <t>Punto de Acuerdo</t>
        </is>
      </c>
      <c r="G157" t="inlineStr">
        <is>
          <t>Acuerdo por el que se exhorta a los doscientos doce ayuntamientos y cinco concejos municipales de la entidad</t>
        </is>
      </c>
      <c r="H157" t="n">
        <v>20</v>
      </c>
      <c r="I157" t="inlineStr">
        <is>
          <t>Justicia y Estado de Derecho en temas de Mujeres</t>
        </is>
      </c>
      <c r="J157" t="n">
        <v>9</v>
      </c>
      <c r="K157" t="n">
        <v>0</v>
      </c>
      <c r="L157" t="n">
        <v>0</v>
      </c>
      <c r="M157" t="n">
        <v>0</v>
      </c>
      <c r="N157">
        <f>SUM(J157:M157)</f>
        <v/>
      </c>
      <c r="O157" s="4">
        <f>SUM(J157:L157)/SUM(J157:M157)</f>
        <v/>
      </c>
      <c r="P157" s="5">
        <f>MAX(J157:L157)/SUM(J157:L157)</f>
        <v/>
      </c>
    </row>
    <row r="158">
      <c r="A158" t="inlineStr">
        <is>
          <t>Primer año</t>
        </is>
      </c>
      <c r="B158" t="inlineStr">
        <is>
          <t>Tercer periodo</t>
        </is>
      </c>
      <c r="C158" t="n">
        <v>55</v>
      </c>
      <c r="D158" t="n">
        <v>156</v>
      </c>
      <c r="E158" s="3" t="n">
        <v>45904</v>
      </c>
      <c r="F158" t="inlineStr">
        <is>
          <t>Punto de Acuerdo</t>
        </is>
      </c>
      <c r="G158" t="inlineStr">
        <is>
          <t>Acuerdo por el que se exhorta a la comisión de derechos humanos y a la secretaría de las mujeres</t>
        </is>
      </c>
      <c r="H158" t="n">
        <v>20</v>
      </c>
      <c r="I158" t="inlineStr">
        <is>
          <t>Justicia y Estado de Derecho en temas de Mujeres</t>
        </is>
      </c>
      <c r="J158" t="n">
        <v>9</v>
      </c>
      <c r="K158" t="n">
        <v>0</v>
      </c>
      <c r="L158" t="n">
        <v>0</v>
      </c>
      <c r="M158" t="n">
        <v>0</v>
      </c>
      <c r="N158">
        <f>SUM(J158:M158)</f>
        <v/>
      </c>
      <c r="O158" s="4">
        <f>SUM(J158:L158)/SUM(J158:M158)</f>
        <v/>
      </c>
      <c r="P158" s="5">
        <f>MAX(J158:L158)/SUM(J158:L158)</f>
        <v/>
      </c>
    </row>
    <row r="159">
      <c r="A159" t="inlineStr">
        <is>
          <t>Primer año</t>
        </is>
      </c>
      <c r="B159" t="inlineStr">
        <is>
          <t>Tercer periodo</t>
        </is>
      </c>
      <c r="C159" t="n">
        <v>56</v>
      </c>
      <c r="D159" t="n">
        <v>157</v>
      </c>
      <c r="E159" s="3" t="n">
        <v>45904</v>
      </c>
      <c r="F159" t="inlineStr">
        <is>
          <t>Punto de Acuerdo</t>
        </is>
      </c>
      <c r="G159" t="inlineStr">
        <is>
          <t>Acuerdo por el que se exhorta a la secretaría de seguridad pública del estado</t>
        </is>
      </c>
      <c r="H159" t="n">
        <v>3</v>
      </c>
      <c r="I159" t="inlineStr">
        <is>
          <t>Seguridad Pública, Protección Civil y Narcotráfico</t>
        </is>
      </c>
      <c r="J159" t="n">
        <v>9</v>
      </c>
      <c r="K159" t="n">
        <v>0</v>
      </c>
      <c r="L159" t="n">
        <v>0</v>
      </c>
      <c r="M159" t="n">
        <v>0</v>
      </c>
      <c r="N159">
        <f>SUM(J159:M159)</f>
        <v/>
      </c>
      <c r="O159" s="4">
        <f>SUM(J159:L159)/SUM(J159:M159)</f>
        <v/>
      </c>
      <c r="P159" s="5">
        <f>MAX(J159:L159)/SUM(J159:L159)</f>
        <v/>
      </c>
    </row>
    <row r="160">
      <c r="A160" t="inlineStr">
        <is>
          <t>Primer año</t>
        </is>
      </c>
      <c r="B160" t="inlineStr">
        <is>
          <t>Tercer periodo</t>
        </is>
      </c>
      <c r="C160" t="n">
        <v>57</v>
      </c>
      <c r="D160" t="n">
        <v>158</v>
      </c>
      <c r="E160" s="3" t="n">
        <v>45904</v>
      </c>
      <c r="F160" t="inlineStr">
        <is>
          <t>Punto de Acuerdo</t>
        </is>
      </c>
      <c r="G160" t="inlineStr">
        <is>
          <t>Acuerdo por el que se exhorta a los doscientos doce ayuntamientos y cinco concejos municipales del estado</t>
        </is>
      </c>
      <c r="H160" t="n">
        <v>3</v>
      </c>
      <c r="I160" t="inlineStr">
        <is>
          <t>Seguridad Pública, Protección Civil y Narcotráfico</t>
        </is>
      </c>
      <c r="J160" t="n">
        <v>9</v>
      </c>
      <c r="K160" t="n">
        <v>0</v>
      </c>
      <c r="L160" t="n">
        <v>0</v>
      </c>
      <c r="M160" t="n">
        <v>0</v>
      </c>
      <c r="N160">
        <f>SUM(J160:M160)</f>
        <v/>
      </c>
      <c r="O160" s="4">
        <f>SUM(J160:L160)/SUM(J160:M160)</f>
        <v/>
      </c>
      <c r="P160" s="5">
        <f>MAX(J160:L160)/SUM(J160:L160)</f>
        <v/>
      </c>
    </row>
    <row r="161">
      <c r="A161" t="inlineStr">
        <is>
          <t>Primer año</t>
        </is>
      </c>
      <c r="B161" t="inlineStr">
        <is>
          <t>Tercer periodo</t>
        </is>
      </c>
      <c r="C161" t="n">
        <v>58</v>
      </c>
      <c r="D161" t="n">
        <v>159</v>
      </c>
      <c r="E161" s="3" t="n">
        <v>45904</v>
      </c>
      <c r="F161" t="inlineStr">
        <is>
          <t>Punto de Acuerdo</t>
        </is>
      </c>
      <c r="G161" t="inlineStr">
        <is>
          <t>Acuerdo por el que se exhorta a la secretaría de seguridad pública del estado</t>
        </is>
      </c>
      <c r="H161" t="n">
        <v>3</v>
      </c>
      <c r="I161" t="inlineStr">
        <is>
          <t>Seguridad Pública, Protección Civil y Narcotráfico</t>
        </is>
      </c>
      <c r="J161" t="n">
        <v>9</v>
      </c>
      <c r="K161" t="n">
        <v>0</v>
      </c>
      <c r="L161" t="n">
        <v>0</v>
      </c>
      <c r="M161" t="n">
        <v>0</v>
      </c>
      <c r="N161">
        <f>SUM(J161:M161)</f>
        <v/>
      </c>
      <c r="O161" s="4">
        <f>SUM(J161:L161)/SUM(J161:M161)</f>
        <v/>
      </c>
      <c r="P161" s="5">
        <f>MAX(J161:L161)/SUM(J161:L161)</f>
        <v/>
      </c>
    </row>
    <row r="162">
      <c r="A162" t="inlineStr">
        <is>
          <t>Primer año</t>
        </is>
      </c>
      <c r="B162" t="inlineStr">
        <is>
          <t>Tercer periodo</t>
        </is>
      </c>
      <c r="C162" t="n">
        <v>59</v>
      </c>
      <c r="D162" t="n">
        <v>160</v>
      </c>
      <c r="E162" s="3" t="n">
        <v>45904</v>
      </c>
      <c r="F162" t="inlineStr">
        <is>
          <t>Punto de Acuerdo</t>
        </is>
      </c>
      <c r="G162" t="inlineStr">
        <is>
          <t>Acuerdo por el que se exhorta a la secretaría de seguridad pública del estado de</t>
        </is>
      </c>
      <c r="H162" t="n">
        <v>3</v>
      </c>
      <c r="I162" t="inlineStr">
        <is>
          <t>Seguridad Pública, Protección Civil y Narcotráfico</t>
        </is>
      </c>
      <c r="J162" t="n">
        <v>9</v>
      </c>
      <c r="K162" t="n">
        <v>0</v>
      </c>
      <c r="L162" t="n">
        <v>0</v>
      </c>
      <c r="M162" t="n">
        <v>0</v>
      </c>
      <c r="N162">
        <f>SUM(J162:M162)</f>
        <v/>
      </c>
      <c r="O162" s="4">
        <f>SUM(J162:L162)/SUM(J162:M162)</f>
        <v/>
      </c>
      <c r="P162" s="5">
        <f>MAX(J162:L162)/SUM(J162:L162)</f>
        <v/>
      </c>
    </row>
    <row r="163">
      <c r="A163" t="inlineStr">
        <is>
          <t>Primer año</t>
        </is>
      </c>
      <c r="B163" t="inlineStr">
        <is>
          <t>Tercer periodo</t>
        </is>
      </c>
      <c r="C163" t="n">
        <v>60</v>
      </c>
      <c r="D163" t="n">
        <v>161</v>
      </c>
      <c r="E163" s="3" t="n">
        <v>45904</v>
      </c>
      <c r="F163" t="inlineStr">
        <is>
          <t>Punto de Acuerdo</t>
        </is>
      </c>
      <c r="G163" t="inlineStr">
        <is>
          <t>Acuerdo por el que se exhorta a la secretaría de infraestructura del estado</t>
        </is>
      </c>
      <c r="H163" t="n">
        <v>11</v>
      </c>
      <c r="I163" t="inlineStr">
        <is>
          <t>Infraestructura, Movilidad y Transporte</t>
        </is>
      </c>
      <c r="J163" t="n">
        <v>9</v>
      </c>
      <c r="K163" t="n">
        <v>0</v>
      </c>
      <c r="L163" t="n">
        <v>0</v>
      </c>
      <c r="M163" t="n">
        <v>0</v>
      </c>
      <c r="N163">
        <f>SUM(J163:M163)</f>
        <v/>
      </c>
      <c r="O163" s="4">
        <f>SUM(J163:L163)/SUM(J163:M163)</f>
        <v/>
      </c>
      <c r="P163" s="5">
        <f>MAX(J163:L163)/SUM(J163:L163)</f>
        <v/>
      </c>
    </row>
    <row r="164">
      <c r="A164" t="inlineStr">
        <is>
          <t>Primer año</t>
        </is>
      </c>
      <c r="B164" t="inlineStr">
        <is>
          <t>Tercer periodo</t>
        </is>
      </c>
      <c r="C164" t="n">
        <v>61</v>
      </c>
      <c r="D164" t="n">
        <v>162</v>
      </c>
      <c r="E164" s="3" t="n">
        <v>45904</v>
      </c>
      <c r="F164" t="inlineStr">
        <is>
          <t>Punto de Acuerdo</t>
        </is>
      </c>
      <c r="G164" t="inlineStr">
        <is>
          <t>Acuerdo por el que se exhorta a los doscientos doce ayuntamientos y cinco concejos municipales del estado</t>
        </is>
      </c>
      <c r="H164" t="n">
        <v>5</v>
      </c>
      <c r="I164" t="inlineStr">
        <is>
          <t>Medio Ambiente</t>
        </is>
      </c>
      <c r="J164" t="n">
        <v>9</v>
      </c>
      <c r="K164" t="n">
        <v>0</v>
      </c>
      <c r="L164" t="n">
        <v>0</v>
      </c>
      <c r="M164" t="n">
        <v>0</v>
      </c>
      <c r="N164">
        <f>SUM(J164:M164)</f>
        <v/>
      </c>
      <c r="O164" s="4">
        <f>SUM(J164:L164)/SUM(J164:M164)</f>
        <v/>
      </c>
      <c r="P164" s="5">
        <f>MAX(J164:L164)/SUM(J164:L164)</f>
        <v/>
      </c>
    </row>
    <row r="165">
      <c r="A165" t="inlineStr">
        <is>
          <t>Primer año</t>
        </is>
      </c>
      <c r="B165" t="inlineStr">
        <is>
          <t>Tercer periodo</t>
        </is>
      </c>
      <c r="C165" t="n">
        <v>62</v>
      </c>
      <c r="D165" t="n">
        <v>163</v>
      </c>
      <c r="E165" s="3" t="n">
        <v>45904</v>
      </c>
      <c r="F165" t="inlineStr">
        <is>
          <t>Punto de Acuerdo</t>
        </is>
      </c>
      <c r="G165" t="inlineStr">
        <is>
          <t>Acuerdo por el que se exhorta al instituto especializado de la defensoría pública del estado de</t>
        </is>
      </c>
      <c r="H165" t="n">
        <v>14</v>
      </c>
      <c r="I165" t="inlineStr">
        <is>
          <t>Justicia y Estado de Derecho</t>
        </is>
      </c>
      <c r="J165" t="n">
        <v>9</v>
      </c>
      <c r="K165" t="n">
        <v>0</v>
      </c>
      <c r="L165" t="n">
        <v>0</v>
      </c>
      <c r="M165" t="n">
        <v>0</v>
      </c>
      <c r="N165">
        <f>SUM(J165:M165)</f>
        <v/>
      </c>
      <c r="O165" s="4">
        <f>SUM(J165:L165)/SUM(J165:M165)</f>
        <v/>
      </c>
      <c r="P165" s="5">
        <f>MAX(J165:L165)/SUM(J165:L165)</f>
        <v/>
      </c>
    </row>
    <row r="166">
      <c r="A166" t="inlineStr">
        <is>
          <t>Primer año</t>
        </is>
      </c>
      <c r="B166" t="inlineStr">
        <is>
          <t>Tercer periodo</t>
        </is>
      </c>
      <c r="C166" t="n">
        <v>63</v>
      </c>
      <c r="D166" t="n">
        <v>164</v>
      </c>
      <c r="E166" s="3" t="n">
        <v>45904</v>
      </c>
      <c r="F166" t="inlineStr">
        <is>
          <t>Punto de Acuerdo</t>
        </is>
      </c>
      <c r="G166" t="inlineStr">
        <is>
          <t>Acuerdo por el que se exhorta a la fiscalía general del estado de</t>
        </is>
      </c>
      <c r="H166" t="n">
        <v>14</v>
      </c>
      <c r="I166" t="inlineStr">
        <is>
          <t>Justicia y Estado de Derecho</t>
        </is>
      </c>
      <c r="J166" t="n">
        <v>9</v>
      </c>
      <c r="K166" t="n">
        <v>0</v>
      </c>
      <c r="L166" t="n">
        <v>0</v>
      </c>
      <c r="M166" t="n">
        <v>0</v>
      </c>
      <c r="N166">
        <f>SUM(J166:M166)</f>
        <v/>
      </c>
      <c r="O166" s="4">
        <f>SUM(J166:L166)/SUM(J166:M166)</f>
        <v/>
      </c>
      <c r="P166" s="5">
        <f>MAX(J166:L166)/SUM(J166:L166)</f>
        <v/>
      </c>
    </row>
    <row r="167">
      <c r="A167" t="inlineStr">
        <is>
          <t>Primer año</t>
        </is>
      </c>
      <c r="B167" t="inlineStr">
        <is>
          <t>Tercer periodo</t>
        </is>
      </c>
      <c r="C167" t="n">
        <v>64</v>
      </c>
      <c r="D167" t="n">
        <v>165</v>
      </c>
      <c r="E167" s="3" t="n">
        <v>45904</v>
      </c>
      <c r="F167" t="inlineStr">
        <is>
          <t>Punto de Acuerdo</t>
        </is>
      </c>
      <c r="G167" t="inlineStr">
        <is>
          <t>Acuerdo por el que se exhorta a la fiscalía general del estado de</t>
        </is>
      </c>
      <c r="H167" t="n">
        <v>14</v>
      </c>
      <c r="I167" t="inlineStr">
        <is>
          <t>Justicia y Estado de Derecho</t>
        </is>
      </c>
      <c r="J167" t="n">
        <v>9</v>
      </c>
      <c r="K167" t="n">
        <v>0</v>
      </c>
      <c r="L167" t="n">
        <v>0</v>
      </c>
      <c r="M167" t="n">
        <v>0</v>
      </c>
      <c r="N167">
        <f>SUM(J167:M167)</f>
        <v/>
      </c>
      <c r="O167" s="4">
        <f>SUM(J167:L167)/SUM(J167:M167)</f>
        <v/>
      </c>
      <c r="P167" s="5">
        <f>MAX(J167:L167)/SUM(J167:L167)</f>
        <v/>
      </c>
    </row>
    <row r="168">
      <c r="A168" t="inlineStr">
        <is>
          <t>Primer año</t>
        </is>
      </c>
      <c r="B168" t="inlineStr">
        <is>
          <t>Tercer periodo</t>
        </is>
      </c>
      <c r="C168" t="n">
        <v>65</v>
      </c>
      <c r="D168" t="n">
        <v>166</v>
      </c>
      <c r="E168" s="3" t="n">
        <v>45910</v>
      </c>
      <c r="F168" t="inlineStr">
        <is>
          <t>Punto de Acuerdo</t>
        </is>
      </c>
      <c r="G168" t="inlineStr">
        <is>
          <t>Acuerdo por el cual la convocatoria a una sesión extraordinaria</t>
        </is>
      </c>
      <c r="H168" t="n">
        <v>19</v>
      </c>
      <c r="I168" t="inlineStr">
        <is>
          <t>Internos del Congreso</t>
        </is>
      </c>
      <c r="J168" t="n">
        <v>8</v>
      </c>
      <c r="K168" t="n">
        <v>0</v>
      </c>
      <c r="L168" t="n">
        <v>0</v>
      </c>
      <c r="M168" t="n">
        <v>33</v>
      </c>
      <c r="N168">
        <f>SUM(J168:M168)</f>
        <v/>
      </c>
      <c r="O168" s="4">
        <f>SUM(J168:L168)/SUM(J168:M168)</f>
        <v/>
      </c>
      <c r="P168" s="5">
        <f>MAX(J168:L168)/SUM(J168:L168)</f>
        <v/>
      </c>
    </row>
    <row r="169">
      <c r="A169" t="inlineStr">
        <is>
          <t>Primer año</t>
        </is>
      </c>
      <c r="B169" t="inlineStr">
        <is>
          <t>Tercer periodo</t>
        </is>
      </c>
      <c r="C169" t="n">
        <v>66</v>
      </c>
      <c r="D169" t="n">
        <v>167</v>
      </c>
      <c r="E169" s="3" t="n">
        <v>45910</v>
      </c>
      <c r="F169" t="inlineStr">
        <is>
          <t>Punto de Acuerdo</t>
        </is>
      </c>
      <c r="G169" t="inlineStr">
        <is>
          <t>Acuerdo por el cual el exhorto a la secretaría de agricultura y desarrollo rural del estado y al ayuntamiento para implementar programas de apoyo al sector agrícola</t>
        </is>
      </c>
      <c r="H169" t="n">
        <v>12</v>
      </c>
      <c r="I169" t="inlineStr">
        <is>
          <t>Agricultura, Ganadería y Pesca</t>
        </is>
      </c>
      <c r="J169" t="n">
        <v>8</v>
      </c>
      <c r="K169" t="n">
        <v>0</v>
      </c>
      <c r="L169" t="n">
        <v>0</v>
      </c>
      <c r="M169" t="n">
        <v>33</v>
      </c>
      <c r="N169">
        <f>SUM(J169:M169)</f>
        <v/>
      </c>
      <c r="O169" s="4">
        <f>SUM(J169:L169)/SUM(J169:M169)</f>
        <v/>
      </c>
      <c r="P169" s="5">
        <f>MAX(J169:L169)/SUM(J169:L169)</f>
        <v/>
      </c>
    </row>
    <row r="170">
      <c r="A170" t="inlineStr">
        <is>
          <t>Primer año</t>
        </is>
      </c>
      <c r="B170" t="inlineStr">
        <is>
          <t>Tercer periodo</t>
        </is>
      </c>
      <c r="C170" t="n">
        <v>67</v>
      </c>
      <c r="D170" t="n">
        <v>168</v>
      </c>
      <c r="E170" s="3" t="n">
        <v>45911</v>
      </c>
      <c r="F170" t="inlineStr">
        <is>
          <t>Punto de Acuerdo</t>
        </is>
      </c>
      <c r="G170" t="inlineStr">
        <is>
          <t>Acuerdo que presenta la propuesta para integrar la primera mesa directiva del segundo año de ejercicio legal</t>
        </is>
      </c>
      <c r="H170" t="n">
        <v>19</v>
      </c>
      <c r="I170" t="inlineStr">
        <is>
          <t>Internos del Congreso</t>
        </is>
      </c>
      <c r="J170" t="n">
        <v>33</v>
      </c>
      <c r="K170" t="n">
        <v>0</v>
      </c>
      <c r="L170" t="n">
        <v>1</v>
      </c>
      <c r="M170" t="n">
        <v>7</v>
      </c>
      <c r="N170">
        <f>SUM(J170:M170)</f>
        <v/>
      </c>
      <c r="O170" s="4">
        <f>SUM(J170:L170)/SUM(J170:M170)</f>
        <v/>
      </c>
      <c r="P170" s="5">
        <f>MAX(J170:L170)/SUM(J170:L170)</f>
        <v/>
      </c>
    </row>
    <row r="171">
      <c r="A171" t="inlineStr">
        <is>
          <t>Primer año</t>
        </is>
      </c>
      <c r="B171" t="inlineStr">
        <is>
          <t>Tercer periodo</t>
        </is>
      </c>
      <c r="C171" t="n">
        <v>68</v>
      </c>
      <c r="D171" t="n">
        <v>169</v>
      </c>
      <c r="E171" s="3" t="n">
        <v>45911</v>
      </c>
      <c r="F171" t="inlineStr">
        <is>
          <t>Punto de Acuerdo</t>
        </is>
      </c>
      <c r="G171" t="inlineStr">
        <is>
          <t>Acuerdo por el cual la propuesta modificatoria</t>
        </is>
      </c>
      <c r="H171" t="n">
        <v>19</v>
      </c>
      <c r="I171" t="inlineStr">
        <is>
          <t>Internos del Congreso</t>
        </is>
      </c>
      <c r="J171" t="n">
        <v>32</v>
      </c>
      <c r="K171" t="n">
        <v>0</v>
      </c>
      <c r="L171" t="n">
        <v>2</v>
      </c>
      <c r="M171" t="n">
        <v>7</v>
      </c>
      <c r="N171">
        <f>SUM(J171:M171)</f>
        <v/>
      </c>
      <c r="O171" s="4">
        <f>SUM(J171:L171)/SUM(J171:M171)</f>
        <v/>
      </c>
      <c r="P171" s="5">
        <f>MAX(J171:L171)/SUM(J171:L171)</f>
        <v/>
      </c>
    </row>
    <row r="172">
      <c r="A172" t="inlineStr">
        <is>
          <t>Segundo año</t>
        </is>
      </c>
      <c r="B172" t="inlineStr">
        <is>
          <t>Primer periodo</t>
        </is>
      </c>
      <c r="C172" t="n">
        <v>1</v>
      </c>
      <c r="D172" t="n">
        <v>170</v>
      </c>
      <c r="E172" s="3" t="n">
        <v>46031</v>
      </c>
      <c r="F172" t="inlineStr">
        <is>
          <t>Punto de Acuerdo</t>
        </is>
      </c>
      <c r="G172" t="inlineStr">
        <is>
          <t>Acuerdo por el cual dispensa de lectura del orden del día</t>
        </is>
      </c>
      <c r="H172" t="n">
        <v>19</v>
      </c>
      <c r="I172" t="inlineStr">
        <is>
          <t>Internos del Congreso</t>
        </is>
      </c>
      <c r="J172" t="n">
        <v>6</v>
      </c>
      <c r="K172" t="n">
        <v>0</v>
      </c>
      <c r="L172" t="n">
        <v>0</v>
      </c>
      <c r="M172" t="n">
        <v>35</v>
      </c>
      <c r="N172">
        <f>SUM(J172:M172)</f>
        <v/>
      </c>
      <c r="O172" s="4">
        <f>SUM(J172:L172)/SUM(J172:M172)</f>
        <v/>
      </c>
      <c r="P172" s="5">
        <f>MAX(J172:L172)/SUM(J172:L172)</f>
        <v/>
      </c>
    </row>
    <row r="173">
      <c r="A173" t="inlineStr">
        <is>
          <t>Segundo año</t>
        </is>
      </c>
      <c r="B173" t="inlineStr">
        <is>
          <t>Primer periodo</t>
        </is>
      </c>
      <c r="C173" t="n">
        <v>2</v>
      </c>
      <c r="D173" t="n">
        <v>171</v>
      </c>
      <c r="E173" s="3" t="n">
        <v>46031</v>
      </c>
      <c r="F173" t="inlineStr">
        <is>
          <t>Punto de Acuerdo</t>
        </is>
      </c>
      <c r="G173" t="inlineStr">
        <is>
          <t>Acuerdo por el cual dispensa de la lectura del acta de la sesión celebrada el diecinueve de diciembre del año dos mil veinticinco</t>
        </is>
      </c>
      <c r="H173" t="n">
        <v>19</v>
      </c>
      <c r="I173" t="inlineStr">
        <is>
          <t>Internos del Congreso</t>
        </is>
      </c>
      <c r="J173" t="n">
        <v>6</v>
      </c>
      <c r="K173" t="n">
        <v>0</v>
      </c>
      <c r="L173" t="n">
        <v>0</v>
      </c>
      <c r="M173" t="n">
        <v>35</v>
      </c>
      <c r="N173">
        <f>SUM(J173:M173)</f>
        <v/>
      </c>
      <c r="O173" s="4">
        <f>SUM(J173:L173)/SUM(J173:M173)</f>
        <v/>
      </c>
      <c r="P173" s="5">
        <f>MAX(J173:L173)/SUM(J173:L173)</f>
        <v/>
      </c>
    </row>
    <row r="174">
      <c r="A174" t="inlineStr">
        <is>
          <t>Segundo año</t>
        </is>
      </c>
      <c r="B174" t="inlineStr">
        <is>
          <t>Primer periodo</t>
        </is>
      </c>
      <c r="C174" t="n">
        <v>3</v>
      </c>
      <c r="D174" t="n">
        <v>172</v>
      </c>
      <c r="E174" s="3" t="n">
        <v>46031</v>
      </c>
      <c r="F174" t="inlineStr">
        <is>
          <t>Punto de Acuerdo</t>
        </is>
      </c>
      <c r="G174" t="inlineStr">
        <is>
          <t>Acuerdo por el cual aprobación del contenido del acta de la sesión celebrada el diecinueve de diciembre del año dos mil veinticinco</t>
        </is>
      </c>
      <c r="H174" t="n">
        <v>19</v>
      </c>
      <c r="I174" t="inlineStr">
        <is>
          <t>Internos del Congreso</t>
        </is>
      </c>
      <c r="J174" t="n">
        <v>6</v>
      </c>
      <c r="K174" t="n">
        <v>0</v>
      </c>
      <c r="L174" t="n">
        <v>0</v>
      </c>
      <c r="M174" t="n">
        <v>35</v>
      </c>
      <c r="N174">
        <f>SUM(J174:M174)</f>
        <v/>
      </c>
      <c r="O174" s="4">
        <f>SUM(J174:L174)/SUM(J174:M174)</f>
        <v/>
      </c>
      <c r="P174" s="5">
        <f>MAX(J174:L174)/SUM(J174:L174)</f>
        <v/>
      </c>
    </row>
    <row r="175">
      <c r="A175" t="inlineStr">
        <is>
          <t>Segundo año</t>
        </is>
      </c>
      <c r="B175" t="inlineStr">
        <is>
          <t>Segundo periodo</t>
        </is>
      </c>
      <c r="C175" t="n">
        <v>1</v>
      </c>
      <c r="D175" t="n">
        <v>173</v>
      </c>
      <c r="E175" s="3" t="n">
        <v>46037</v>
      </c>
      <c r="F175" t="inlineStr">
        <is>
          <t>Punto de Acuerdo</t>
        </is>
      </c>
      <c r="G175" t="inlineStr">
        <is>
          <t>Acuerdo por el cual la elección de la persona titular de la Auditoría Superior del Estado</t>
        </is>
      </c>
      <c r="H175" t="n">
        <v>18</v>
      </c>
      <c r="I175" t="inlineStr">
        <is>
          <t>Administración Pública</t>
        </is>
      </c>
      <c r="J175" t="n">
        <v>37</v>
      </c>
      <c r="K175" t="n">
        <v>0</v>
      </c>
      <c r="L175" t="n">
        <v>1</v>
      </c>
      <c r="M175" t="n">
        <v>3</v>
      </c>
      <c r="N175">
        <f>SUM(J175:M175)</f>
        <v/>
      </c>
      <c r="O175" s="4">
        <f>SUM(J175:L175)/SUM(J175:M175)</f>
        <v/>
      </c>
      <c r="P175" s="5">
        <f>MAX(J175:L175)/SUM(J175:L175)</f>
        <v/>
      </c>
    </row>
    <row r="176">
      <c r="A176" t="inlineStr">
        <is>
          <t>Segundo año</t>
        </is>
      </c>
      <c r="B176" t="inlineStr">
        <is>
          <t>Segundo periodo</t>
        </is>
      </c>
      <c r="C176" t="n">
        <v>2</v>
      </c>
      <c r="D176" t="n">
        <v>174</v>
      </c>
      <c r="E176" s="3" t="n">
        <v>46108</v>
      </c>
      <c r="F176" t="inlineStr">
        <is>
          <t>Punto de Acuerdo</t>
        </is>
      </c>
      <c r="G176" t="inlineStr">
        <is>
          <t>Acuerdo por el cual exhorta al Ayuntamiento y al organismo operador de los servicios de agua potable y alcantarillado de Tehuacán para implementar un programa de estímulos en el cobro del servicio</t>
        </is>
      </c>
      <c r="H176" t="n">
        <v>1</v>
      </c>
      <c r="I176" t="inlineStr">
        <is>
          <t>Economía, Comercio y Competitividad</t>
        </is>
      </c>
      <c r="J176" t="n">
        <v>9</v>
      </c>
      <c r="K176" t="n">
        <v>0</v>
      </c>
      <c r="L176" t="n">
        <v>0</v>
      </c>
      <c r="M176" t="n">
        <v>0</v>
      </c>
      <c r="N176">
        <f>SUM(J176:M176)</f>
        <v/>
      </c>
      <c r="O176" s="4">
        <f>SUM(J176:L176)/SUM(J176:M176)</f>
        <v/>
      </c>
      <c r="P176" s="5">
        <f>MAX(J176:L176)/SUM(J176:L176)</f>
        <v/>
      </c>
    </row>
    <row r="177">
      <c r="A177" t="inlineStr">
        <is>
          <t>Segundo año</t>
        </is>
      </c>
      <c r="B177" t="inlineStr">
        <is>
          <t>Segundo periodo</t>
        </is>
      </c>
      <c r="C177" t="n">
        <v>3</v>
      </c>
      <c r="D177" t="n">
        <v>175</v>
      </c>
      <c r="E177" s="3" t="n">
        <v>46108</v>
      </c>
      <c r="F177" t="inlineStr">
        <is>
          <t>Punto de Acuerdo</t>
        </is>
      </c>
      <c r="G177" t="inlineStr">
        <is>
          <t>Acuerdo por el que se convoca a una sesión extraordinaria</t>
        </is>
      </c>
      <c r="H177" t="n">
        <v>19</v>
      </c>
      <c r="I177" t="inlineStr">
        <is>
          <t>Internos del Congreso</t>
        </is>
      </c>
      <c r="J177" t="n">
        <v>9</v>
      </c>
      <c r="K177" t="n">
        <v>0</v>
      </c>
      <c r="L177" t="n">
        <v>0</v>
      </c>
      <c r="M177" t="n">
        <v>0</v>
      </c>
      <c r="N177">
        <f>SUM(J177:M177)</f>
        <v/>
      </c>
      <c r="O177" s="4">
        <f>SUM(J177:L177)/SUM(J177:M177)</f>
        <v/>
      </c>
      <c r="P177" s="5">
        <f>MAX(J177:L177)/SUM(J177:L177)</f>
        <v/>
      </c>
    </row>
    <row r="178">
      <c r="A178" t="inlineStr">
        <is>
          <t>Segundo año</t>
        </is>
      </c>
      <c r="B178" t="inlineStr">
        <is>
          <t>Segundo periodo</t>
        </is>
      </c>
      <c r="C178" t="n">
        <v>4</v>
      </c>
      <c r="D178" t="n">
        <v>176</v>
      </c>
      <c r="E178" s="3" t="n">
        <v>46108</v>
      </c>
      <c r="F178" t="inlineStr">
        <is>
          <t>Iniciativa</t>
        </is>
      </c>
      <c r="G178" t="inlineStr">
        <is>
          <t>Dictamen con minuta Proyecto de decreto que presenta la comisión de gobernación y puntos constitucionales por el que se reforma y adiciona el artículo 127 de la constitución política de los , en materia de límite a las jubilaciones y pensiones de las entidades públicas</t>
        </is>
      </c>
      <c r="H178" t="n">
        <v>7</v>
      </c>
      <c r="I178" t="inlineStr">
        <is>
          <t>Impuestos, Finanzas Públicas, Patrimonio estatal y municipal</t>
        </is>
      </c>
      <c r="J178" t="n">
        <v>37</v>
      </c>
      <c r="K178" t="n">
        <v>0</v>
      </c>
      <c r="L178" t="n">
        <v>0</v>
      </c>
      <c r="M178" t="n">
        <v>0</v>
      </c>
      <c r="N178">
        <f>SUM(J178:M178)</f>
        <v/>
      </c>
      <c r="O178" s="4">
        <f>SUM(J178:L178)/SUM(J178:M178)</f>
        <v/>
      </c>
      <c r="P178" s="5">
        <f>MAX(J178:L178)/SUM(J178:L178)</f>
        <v/>
      </c>
    </row>
    <row r="179">
      <c r="A179" t="inlineStr">
        <is>
          <t>Segundo año</t>
        </is>
      </c>
      <c r="B179" t="inlineStr">
        <is>
          <t>Segundo periodo</t>
        </is>
      </c>
      <c r="C179" t="n">
        <v>5</v>
      </c>
      <c r="D179" t="n">
        <v>177</v>
      </c>
      <c r="E179" s="3" t="n">
        <v>46121</v>
      </c>
      <c r="F179" t="inlineStr">
        <is>
          <t>Punto de Acuerdo</t>
        </is>
      </c>
      <c r="G179" t="inlineStr">
        <is>
          <t>Acuerdo por el que se exhorta a la secretaría de agricultura y desarrollo rural, a la secretaría de medio ambiente, desarrollo sustentable y ordenamiento territorial, y a la secretaría de salud, todas del estado, para que, de manera coordinada y en el ámbito de sus respectivas competencias, difundan campañas de concientización y fortalezcan la supervisión sobre el manejo y aplicación de plaguicidas, incluyendo herbicidas, en zonas de cultivo de tubérculos en la entidad, con el fin de dar a conocer sus consecuencias en la salud humana; así como para que promuevan prácticas agrícolas seguras y sustentables en beneficio del medio ambiente y de los y las poblanas</t>
        </is>
      </c>
      <c r="H179" t="n">
        <v>6</v>
      </c>
      <c r="I179" t="inlineStr">
        <is>
          <t>Salud</t>
        </is>
      </c>
      <c r="J179" t="n">
        <v>9</v>
      </c>
      <c r="K179" t="n">
        <v>0</v>
      </c>
      <c r="L179" t="n">
        <v>0</v>
      </c>
      <c r="M179" t="n">
        <v>0</v>
      </c>
      <c r="N179">
        <f>SUM(J179:M179)</f>
        <v/>
      </c>
      <c r="O179" s="4">
        <f>SUM(J179:L179)/SUM(J179:M179)</f>
        <v/>
      </c>
      <c r="P179" s="5">
        <f>MAX(J179:L179)/SUM(J179:L179)</f>
        <v/>
      </c>
    </row>
    <row r="180">
      <c r="A180" t="inlineStr">
        <is>
          <t>Segundo año</t>
        </is>
      </c>
      <c r="B180" t="inlineStr">
        <is>
          <t>Segundo periodo</t>
        </is>
      </c>
      <c r="C180" t="n">
        <v>6</v>
      </c>
      <c r="D180" t="n">
        <v>178</v>
      </c>
      <c r="E180" s="3" t="n">
        <v>46121</v>
      </c>
      <c r="F180" t="inlineStr">
        <is>
          <t>Punto de Acuerdo</t>
        </is>
      </c>
      <c r="G180" t="inlineStr">
        <is>
          <t>Acuerdo por el cual convoca a una sesión extraordinaria</t>
        </is>
      </c>
      <c r="H180" t="n">
        <v>19</v>
      </c>
      <c r="I180" t="inlineStr">
        <is>
          <t>Internos del Congreso</t>
        </is>
      </c>
      <c r="J180" t="n">
        <v>9</v>
      </c>
      <c r="K180" t="n">
        <v>0</v>
      </c>
      <c r="L180" t="n">
        <v>0</v>
      </c>
      <c r="M180" t="n">
        <v>0</v>
      </c>
      <c r="N180">
        <f>SUM(J180:M180)</f>
        <v/>
      </c>
      <c r="O180" s="4">
        <f>SUM(J180:L180)/SUM(J180:M180)</f>
        <v/>
      </c>
      <c r="P180" s="5">
        <f>MAX(J180:L180)/SUM(J180:L180)</f>
        <v/>
      </c>
    </row>
    <row r="181">
      <c r="A181" t="inlineStr">
        <is>
          <t>Segundo año</t>
        </is>
      </c>
      <c r="B181" t="inlineStr">
        <is>
          <t>Segundo periodo</t>
        </is>
      </c>
      <c r="C181" t="n">
        <v>7</v>
      </c>
      <c r="D181" t="n">
        <v>179</v>
      </c>
      <c r="E181" s="3" t="n">
        <v>46121</v>
      </c>
      <c r="F181" t="inlineStr">
        <is>
          <t>Iniciativa</t>
        </is>
      </c>
      <c r="G181" t="inlineStr">
        <is>
          <t>Dictamen con minuta Proyecto de decreto por el cual se reforman los artículos 115, fracción i, párrafo primero, y 116, fracción ii, párrafo segundo, y se adiciona al artículo 134, un párrafo cuarto, recorriéndose los subsecuentes en su orden, de la constitución política de los</t>
        </is>
      </c>
      <c r="H181" t="n">
        <v>18</v>
      </c>
      <c r="I181" t="inlineStr">
        <is>
          <t>Administración Pública</t>
        </is>
      </c>
      <c r="J181" t="n">
        <v>34</v>
      </c>
      <c r="K181" t="n">
        <v>6</v>
      </c>
      <c r="L181" t="n">
        <v>0</v>
      </c>
      <c r="M181" t="n">
        <v>1</v>
      </c>
      <c r="N181">
        <f>SUM(J181:M181)</f>
        <v/>
      </c>
      <c r="O181" s="4">
        <f>SUM(J181:L181)/SUM(J181:M181)</f>
        <v/>
      </c>
      <c r="P181" s="5">
        <f>MAX(J181:L181)/SUM(J181:L181)</f>
        <v/>
      </c>
    </row>
    <row r="182">
      <c r="A182" t="inlineStr">
        <is>
          <t>Segundo año</t>
        </is>
      </c>
      <c r="B182" t="inlineStr">
        <is>
          <t>Segundo periodo</t>
        </is>
      </c>
      <c r="C182" t="n">
        <v>8</v>
      </c>
      <c r="D182" t="n">
        <v>180</v>
      </c>
      <c r="E182" s="3" t="n">
        <v>46128</v>
      </c>
      <c r="F182" t="inlineStr">
        <is>
          <t>Punto de Acuerdo</t>
        </is>
      </c>
      <c r="G182" t="inlineStr">
        <is>
          <t>Acuerdo por el cual la dispensa de lectura</t>
        </is>
      </c>
      <c r="H182" t="n">
        <v>19</v>
      </c>
      <c r="I182" t="inlineStr">
        <is>
          <t>Internos del Congreso</t>
        </is>
      </c>
      <c r="J182" t="n">
        <v>8</v>
      </c>
      <c r="K182" t="n">
        <v>0</v>
      </c>
      <c r="L182" t="n">
        <v>0</v>
      </c>
      <c r="M182" t="n">
        <v>0</v>
      </c>
      <c r="N182">
        <f>SUM(J182:M182)</f>
        <v/>
      </c>
      <c r="O182" s="4">
        <f>SUM(J182:L182)/SUM(J182:M182)</f>
        <v/>
      </c>
      <c r="P182" s="5">
        <f>MAX(J182:L182)/SUM(J182:L182)</f>
        <v/>
      </c>
    </row>
    <row r="183">
      <c r="A183" t="inlineStr">
        <is>
          <t>Segundo año</t>
        </is>
      </c>
      <c r="B183" t="inlineStr">
        <is>
          <t>Segundo periodo</t>
        </is>
      </c>
      <c r="C183" t="n">
        <v>9</v>
      </c>
      <c r="D183" t="n">
        <v>181</v>
      </c>
      <c r="E183" s="3" t="n">
        <v>46128</v>
      </c>
      <c r="F183" t="inlineStr">
        <is>
          <t>Punto de Acuerdo</t>
        </is>
      </c>
      <c r="G183" t="inlineStr">
        <is>
          <t>Acuerdo por el cual el contenido</t>
        </is>
      </c>
      <c r="H183" t="n">
        <v>19</v>
      </c>
      <c r="I183" t="inlineStr">
        <is>
          <t>Internos del Congreso</t>
        </is>
      </c>
      <c r="J183" t="n">
        <v>8</v>
      </c>
      <c r="K183" t="n">
        <v>0</v>
      </c>
      <c r="L183" t="n">
        <v>0</v>
      </c>
      <c r="M183" t="n">
        <v>0</v>
      </c>
      <c r="N183">
        <f>SUM(J183:M183)</f>
        <v/>
      </c>
      <c r="O183" s="4">
        <f>SUM(J183:L183)/SUM(J183:M183)</f>
        <v/>
      </c>
      <c r="P183" s="5">
        <f>MAX(J183:L183)/SUM(J183:L183)</f>
        <v/>
      </c>
    </row>
    <row r="184">
      <c r="A184" t="inlineStr">
        <is>
          <t>Segundo año</t>
        </is>
      </c>
      <c r="B184" t="inlineStr">
        <is>
          <t>Segundo periodo</t>
        </is>
      </c>
      <c r="C184" t="n">
        <v>10</v>
      </c>
      <c r="D184" t="n">
        <v>182</v>
      </c>
      <c r="E184" s="3" t="n">
        <v>46128</v>
      </c>
      <c r="F184" t="inlineStr">
        <is>
          <t>Punto de Acuerdo</t>
        </is>
      </c>
      <c r="G184" t="inlineStr">
        <is>
          <t>Acuerdo por el cual la solicitud planteada</t>
        </is>
      </c>
      <c r="H184" t="n">
        <v>19</v>
      </c>
      <c r="I184" t="inlineStr">
        <is>
          <t>Internos del Congreso</t>
        </is>
      </c>
      <c r="J184" t="n">
        <v>8</v>
      </c>
      <c r="K184" t="n">
        <v>0</v>
      </c>
      <c r="L184" t="n">
        <v>0</v>
      </c>
      <c r="M184" t="n">
        <v>0</v>
      </c>
      <c r="N184">
        <f>SUM(J184:M184)</f>
        <v/>
      </c>
      <c r="O184" s="4">
        <f>SUM(J184:L184)/SUM(J184:M184)</f>
        <v/>
      </c>
      <c r="P184" s="5">
        <f>MAX(J184:L184)/SUM(J184:L184)</f>
        <v/>
      </c>
    </row>
    <row r="185">
      <c r="A185" t="inlineStr">
        <is>
          <t>Segundo año</t>
        </is>
      </c>
      <c r="B185" t="inlineStr">
        <is>
          <t>Segundo periodo</t>
        </is>
      </c>
      <c r="C185" t="n">
        <v>11</v>
      </c>
      <c r="D185" t="n">
        <v>183</v>
      </c>
      <c r="E185" s="3" t="n">
        <v>46135</v>
      </c>
      <c r="F185" t="inlineStr">
        <is>
          <t>Punto de Acuerdo</t>
        </is>
      </c>
      <c r="G185" t="inlineStr">
        <is>
          <t>Acuerdo por el que se exhorta a los doscientos doce ayuntamientos y cinco concejos municipales del estado, para que promuevan la capacitación y profesionalización de su personal dentro del horario laboral, con el fin de eficientar la prestación de los servicios sin afectar los derechos laborales de los y las trabajadoras</t>
        </is>
      </c>
      <c r="H185" t="n">
        <v>16</v>
      </c>
      <c r="I185" t="inlineStr">
        <is>
          <t>Trabajo y Previsión Social</t>
        </is>
      </c>
      <c r="J185" t="n">
        <v>6</v>
      </c>
      <c r="K185" t="n">
        <v>0</v>
      </c>
      <c r="L185" t="n">
        <v>0</v>
      </c>
      <c r="M185" t="n">
        <v>35</v>
      </c>
      <c r="N185">
        <f>SUM(J185:M185)</f>
        <v/>
      </c>
      <c r="O185" s="4">
        <f>SUM(J185:L185)/SUM(J185:M185)</f>
        <v/>
      </c>
      <c r="P185" s="5">
        <f>MAX(J185:L185)/SUM(J185:L185)</f>
        <v/>
      </c>
    </row>
    <row r="186">
      <c r="A186" t="inlineStr">
        <is>
          <t>Segundo año</t>
        </is>
      </c>
      <c r="B186" t="inlineStr">
        <is>
          <t>Segundo periodo</t>
        </is>
      </c>
      <c r="C186" t="n">
        <v>12</v>
      </c>
      <c r="D186" t="n">
        <v>184</v>
      </c>
      <c r="E186" s="3" t="n">
        <v>46135</v>
      </c>
      <c r="F186" t="inlineStr">
        <is>
          <t>Punto de Acuerdo</t>
        </is>
      </c>
      <c r="G186" t="inlineStr">
        <is>
          <t>Acuerdo por el que se exhorta al honorable congreso de la unión, para que, en el ámbito de su competencia y en atención a los principios constitucionales de igualdad, no discriminación, accesibilidad universal y trabajo, valoren la factibilidad de reformar la ley federal del trabajo, y demás ordenamientos aplicables, con el fin de promover y garantizar la inclusión laboral de las personas con discapacidad, considerando para el efecto las figuras de preparador laboral; sistemas de certificación, capacitación, profesionalización y acompañamiento; agencias de colocación especializadas; mecanismos de accesibilidad y ajustes razonables; así como cuotas laborales en favor de aquel sector</t>
        </is>
      </c>
      <c r="H186" t="n">
        <v>16</v>
      </c>
      <c r="I186" t="inlineStr">
        <is>
          <t>Trabajo y Previsión Social</t>
        </is>
      </c>
      <c r="J186" t="n">
        <v>6</v>
      </c>
      <c r="K186" t="n">
        <v>0</v>
      </c>
      <c r="L186" t="n">
        <v>0</v>
      </c>
      <c r="M186" t="n">
        <v>35</v>
      </c>
      <c r="N186">
        <f>SUM(J186:M186)</f>
        <v/>
      </c>
      <c r="O186" s="4">
        <f>SUM(J186:L186)/SUM(J186:M186)</f>
        <v/>
      </c>
      <c r="P186" s="5">
        <f>MAX(J186:L186)/SUM(J186:L186)</f>
        <v/>
      </c>
    </row>
    <row r="187">
      <c r="A187" t="inlineStr">
        <is>
          <t>Segundo año</t>
        </is>
      </c>
      <c r="B187" t="inlineStr">
        <is>
          <t>Segundo periodo</t>
        </is>
      </c>
      <c r="C187" t="n">
        <v>13</v>
      </c>
      <c r="D187" t="n">
        <v>185</v>
      </c>
      <c r="E187" s="3" t="n">
        <v>46135</v>
      </c>
      <c r="F187" t="inlineStr">
        <is>
          <t>Punto de Acuerdo</t>
        </is>
      </c>
      <c r="G187" t="inlineStr">
        <is>
          <t>Acuerdo por el que se exhorta a la secretaría de las mujeres, para que, en coordinación con los doscientos doce ayuntamientos y cinco concejos municipales del estado, y en el ámbito de su respectiva competencia, realicen campañas de difusión y capacitación para fomentar las nuevas masculinidades, promover la igualdad sustantiva y reducir la desigualdad entre géneros</t>
        </is>
      </c>
      <c r="H187" t="n">
        <v>20</v>
      </c>
      <c r="I187" t="inlineStr">
        <is>
          <t>Justicia y Estado de Derecho en temas de Mujeres</t>
        </is>
      </c>
      <c r="J187" t="n">
        <v>6</v>
      </c>
      <c r="K187" t="n">
        <v>0</v>
      </c>
      <c r="L187" t="n">
        <v>0</v>
      </c>
      <c r="M187" t="n">
        <v>35</v>
      </c>
      <c r="N187">
        <f>SUM(J187:M187)</f>
        <v/>
      </c>
      <c r="O187" s="4">
        <f>SUM(J187:L187)/SUM(J187:M187)</f>
        <v/>
      </c>
      <c r="P187" s="5">
        <f>MAX(J187:L187)/SUM(J187:L187)</f>
        <v/>
      </c>
    </row>
    <row r="188">
      <c r="A188" t="inlineStr">
        <is>
          <t>Segundo año</t>
        </is>
      </c>
      <c r="B188" t="inlineStr">
        <is>
          <t>Segundo periodo</t>
        </is>
      </c>
      <c r="C188" t="n">
        <v>14</v>
      </c>
      <c r="D188" t="n">
        <v>186</v>
      </c>
      <c r="E188" s="3" t="n">
        <v>46135</v>
      </c>
      <c r="F188" t="inlineStr">
        <is>
          <t>Punto de Acuerdo</t>
        </is>
      </c>
      <c r="G188" t="inlineStr">
        <is>
          <t>Acuerdo por el que se exhorta a la secretaría de gobernación, para que, en coordinación con la secretaría de las mujeres, ambas del estado, implementen capacitaciones de educación financiera al interior de las casas carmen serdán, para incentivar la independencia económica, fortalecer la autonomía y promover la igualdad de oportunidades en beneficio de las mujeres usuarias</t>
        </is>
      </c>
      <c r="H188" t="n">
        <v>20</v>
      </c>
      <c r="I188" t="inlineStr">
        <is>
          <t>Justicia y Estado de Derecho en temas de Mujeres</t>
        </is>
      </c>
      <c r="J188" t="n">
        <v>7</v>
      </c>
      <c r="K188" t="n">
        <v>0</v>
      </c>
      <c r="L188" t="n">
        <v>0</v>
      </c>
      <c r="M188" t="n">
        <v>34</v>
      </c>
      <c r="N188">
        <f>SUM(J188:M188)</f>
        <v/>
      </c>
      <c r="O188" s="4">
        <f>SUM(J188:L188)/SUM(J188:M188)</f>
        <v/>
      </c>
      <c r="P188" s="5">
        <f>MAX(J188:L188)/SUM(J188:L188)</f>
        <v/>
      </c>
    </row>
    <row r="189">
      <c r="A189" t="inlineStr">
        <is>
          <t>Segundo año</t>
        </is>
      </c>
      <c r="B189" t="inlineStr">
        <is>
          <t>Segundo periodo</t>
        </is>
      </c>
      <c r="C189" t="n">
        <v>15</v>
      </c>
      <c r="D189" t="n">
        <v>187</v>
      </c>
      <c r="E189" s="3" t="n">
        <v>46135</v>
      </c>
      <c r="F189" t="inlineStr">
        <is>
          <t>Punto de Acuerdo</t>
        </is>
      </c>
      <c r="G189" t="inlineStr">
        <is>
          <t>Acuerdo por el cual se convoca a una sesión extraordinaria</t>
        </is>
      </c>
      <c r="H189" t="n">
        <v>19</v>
      </c>
      <c r="I189" t="inlineStr">
        <is>
          <t>Internos del Congreso</t>
        </is>
      </c>
      <c r="J189" t="n">
        <v>9</v>
      </c>
      <c r="K189" t="n">
        <v>0</v>
      </c>
      <c r="L189" t="n">
        <v>0</v>
      </c>
      <c r="M189" t="n">
        <v>0</v>
      </c>
      <c r="N189">
        <f>SUM(J189:M189)</f>
        <v/>
      </c>
      <c r="O189" s="4">
        <f>SUM(J189:L189)/SUM(J189:M189)</f>
        <v/>
      </c>
      <c r="P189" s="5">
        <f>MAX(J189:L189)/SUM(J189:L189)</f>
        <v/>
      </c>
    </row>
    <row r="190">
      <c r="A190" t="inlineStr">
        <is>
          <t>Segundo año</t>
        </is>
      </c>
      <c r="B190" t="inlineStr">
        <is>
          <t>Segundo periodo</t>
        </is>
      </c>
      <c r="C190" t="n">
        <v>16</v>
      </c>
      <c r="D190" t="n">
        <v>188</v>
      </c>
      <c r="E190" s="3" t="n">
        <v>46135</v>
      </c>
      <c r="F190" t="inlineStr">
        <is>
          <t>Iniciativa</t>
        </is>
      </c>
      <c r="G190" t="inlineStr">
        <is>
          <t>Dictamen con minuta Proyecto de decreto que presenta la comisión de gobernación y puntos constitucionales de la sexagésima segunda legislatura del honorable congreso del estado, por el que se reforma el artículo 73, fracción xxi, inciso a), de la constitución política de los estados unidos mexicanos, en materia de feminicidio</t>
        </is>
      </c>
      <c r="H190" t="n">
        <v>20</v>
      </c>
      <c r="I190" t="inlineStr">
        <is>
          <t>Justicia y Estado de Derecho en temas de Mujeres</t>
        </is>
      </c>
      <c r="J190" t="n">
        <v>37</v>
      </c>
      <c r="K190" t="n">
        <v>0</v>
      </c>
      <c r="L190" t="n">
        <v>0</v>
      </c>
      <c r="M190" t="n">
        <v>4</v>
      </c>
      <c r="N190">
        <f>SUM(J190:M190)</f>
        <v/>
      </c>
      <c r="O190" s="4">
        <f>SUM(J190:L190)/SUM(J190:M190)</f>
        <v/>
      </c>
      <c r="P190" s="5">
        <f>MAX(J190:L190)/SUM(J190:L190)</f>
        <v/>
      </c>
    </row>
    <row r="191">
      <c r="A191" t="inlineStr">
        <is>
          <t>Segundo año</t>
        </is>
      </c>
      <c r="B191" t="inlineStr">
        <is>
          <t>Segundo periodo</t>
        </is>
      </c>
      <c r="C191" t="n">
        <v>17</v>
      </c>
      <c r="D191" t="n">
        <v>189</v>
      </c>
      <c r="E191" s="3" t="n">
        <v>46142</v>
      </c>
      <c r="F191" t="inlineStr">
        <is>
          <t>Punto de Acuerdo</t>
        </is>
      </c>
      <c r="G191" t="inlineStr">
        <is>
          <t>Acuerdo por el que se exhorta a la secretaría de infraestructura, comunicaciones y transportes, delegación - tlaxcala, y a la secretaría de movilidad y transporte del estado</t>
        </is>
      </c>
      <c r="H191" t="n">
        <v>11</v>
      </c>
      <c r="I191" t="inlineStr">
        <is>
          <t>Infraestructura, Movilidad y Transporte</t>
        </is>
      </c>
      <c r="J191" t="n">
        <v>7</v>
      </c>
      <c r="K191" t="n">
        <v>0</v>
      </c>
      <c r="L191" t="n">
        <v>0</v>
      </c>
      <c r="M191" t="n">
        <v>34</v>
      </c>
      <c r="N191">
        <f>SUM(J191:M191)</f>
        <v/>
      </c>
      <c r="O191" s="4">
        <f>SUM(J191:L191)/SUM(J191:M191)</f>
        <v/>
      </c>
      <c r="P191" s="5">
        <f>MAX(J191:L191)/SUM(J191:L191)</f>
        <v/>
      </c>
    </row>
    <row r="192">
      <c r="A192" t="inlineStr">
        <is>
          <t>Segundo año</t>
        </is>
      </c>
      <c r="B192" t="inlineStr">
        <is>
          <t>Segundo periodo</t>
        </is>
      </c>
      <c r="C192" t="n">
        <v>18</v>
      </c>
      <c r="D192" t="n">
        <v>190</v>
      </c>
      <c r="E192" s="3" t="n">
        <v>46142</v>
      </c>
      <c r="F192" t="inlineStr">
        <is>
          <t>Punto de Acuerdo</t>
        </is>
      </c>
      <c r="G192" t="inlineStr">
        <is>
          <t>Acuerdo por el que se exhorta a los doscientos doce ayuntamientos y cinco concejos municipales del estado</t>
        </is>
      </c>
      <c r="H192" t="n">
        <v>11</v>
      </c>
      <c r="I192" t="inlineStr">
        <is>
          <t>Infraestructura, Movilidad y Transporte</t>
        </is>
      </c>
      <c r="J192" t="n">
        <v>7</v>
      </c>
      <c r="K192" t="n">
        <v>0</v>
      </c>
      <c r="L192" t="n">
        <v>0</v>
      </c>
      <c r="M192" t="n">
        <v>34</v>
      </c>
      <c r="N192">
        <f>SUM(J192:M192)</f>
        <v/>
      </c>
      <c r="O192" s="4">
        <f>SUM(J192:L192)/SUM(J192:M192)</f>
        <v/>
      </c>
      <c r="P192" s="5">
        <f>MAX(J192:L192)/SUM(J192:L192)</f>
        <v/>
      </c>
    </row>
    <row r="193">
      <c r="A193" t="inlineStr">
        <is>
          <t>Segundo año</t>
        </is>
      </c>
      <c r="B193" t="inlineStr">
        <is>
          <t>Segundo periodo</t>
        </is>
      </c>
      <c r="C193" t="n">
        <v>19</v>
      </c>
      <c r="D193" t="n">
        <v>191</v>
      </c>
      <c r="E193" s="3" t="n">
        <v>46142</v>
      </c>
      <c r="F193" t="inlineStr">
        <is>
          <t>Punto de Acuerdo</t>
        </is>
      </c>
      <c r="G193" t="inlineStr">
        <is>
          <t>Acuerdo por el que se exhorta a los doscientos doce ayuntamientos y cinco concejos municipales del estado</t>
        </is>
      </c>
      <c r="H193" t="n">
        <v>2</v>
      </c>
      <c r="I193" t="inlineStr">
        <is>
          <t>Pobreza y Política Social</t>
        </is>
      </c>
      <c r="J193" t="n">
        <v>7</v>
      </c>
      <c r="K193" t="n">
        <v>0</v>
      </c>
      <c r="L193" t="n">
        <v>0</v>
      </c>
      <c r="M193" t="n">
        <v>34</v>
      </c>
      <c r="N193">
        <f>SUM(J193:M193)</f>
        <v/>
      </c>
      <c r="O193" s="4">
        <f>SUM(J193:L193)/SUM(J193:M193)</f>
        <v/>
      </c>
      <c r="P193" s="5">
        <f>MAX(J193:L193)/SUM(J193:L193)</f>
        <v/>
      </c>
    </row>
    <row r="194">
      <c r="A194" t="inlineStr">
        <is>
          <t>Segundo año</t>
        </is>
      </c>
      <c r="B194" t="inlineStr">
        <is>
          <t>Segundo periodo</t>
        </is>
      </c>
      <c r="C194" t="n">
        <v>20</v>
      </c>
      <c r="D194" t="n">
        <v>192</v>
      </c>
      <c r="E194" s="3" t="n">
        <v>46142</v>
      </c>
      <c r="F194" t="inlineStr">
        <is>
          <t>Punto de Acuerdo</t>
        </is>
      </c>
      <c r="G194" t="inlineStr">
        <is>
          <t>Acuerdo por el que se exhorta a los doscientos doce ayuntamientos y cinco concejos municipales del estado</t>
        </is>
      </c>
      <c r="H194" t="n">
        <v>14</v>
      </c>
      <c r="I194" t="inlineStr">
        <is>
          <t>Justicia y Estado de Derecho</t>
        </is>
      </c>
      <c r="J194" t="n">
        <v>7</v>
      </c>
      <c r="K194" t="n">
        <v>0</v>
      </c>
      <c r="L194" t="n">
        <v>0</v>
      </c>
      <c r="M194" t="n">
        <v>34</v>
      </c>
      <c r="N194">
        <f>SUM(J194:M194)</f>
        <v/>
      </c>
      <c r="O194" s="4">
        <f>SUM(J194:L194)/SUM(J194:M194)</f>
        <v/>
      </c>
      <c r="P194" s="5">
        <f>MAX(J194:L194)/SUM(J194:L194)</f>
        <v/>
      </c>
    </row>
    <row r="195">
      <c r="A195" t="inlineStr">
        <is>
          <t>Segundo año</t>
        </is>
      </c>
      <c r="B195" t="inlineStr">
        <is>
          <t>Segundo periodo</t>
        </is>
      </c>
      <c r="C195" t="n">
        <v>21</v>
      </c>
      <c r="D195" t="n">
        <v>193</v>
      </c>
      <c r="E195" s="3" t="n">
        <v>46142</v>
      </c>
      <c r="F195" t="inlineStr">
        <is>
          <t>Punto de Acuerdo</t>
        </is>
      </c>
      <c r="G195" t="inlineStr">
        <is>
          <t>Acuerdo por el que se exhorta a los doscientos doce ayuntamientos y cinco concejos municipales del estado</t>
        </is>
      </c>
      <c r="H195" t="n">
        <v>1</v>
      </c>
      <c r="I195" t="inlineStr">
        <is>
          <t>Economía, Comercio y Competitividad</t>
        </is>
      </c>
      <c r="J195" t="n">
        <v>7</v>
      </c>
      <c r="K195" t="n">
        <v>0</v>
      </c>
      <c r="L195" t="n">
        <v>0</v>
      </c>
      <c r="M195" t="n">
        <v>34</v>
      </c>
      <c r="N195">
        <f>SUM(J195:M195)</f>
        <v/>
      </c>
      <c r="O195" s="4">
        <f>SUM(J195:L195)/SUM(J195:M195)</f>
        <v/>
      </c>
      <c r="P195" s="5">
        <f>MAX(J195:L195)/SUM(J195:L195)</f>
        <v/>
      </c>
    </row>
    <row r="196">
      <c r="A196" t="inlineStr">
        <is>
          <t>Segundo año</t>
        </is>
      </c>
      <c r="B196" t="inlineStr">
        <is>
          <t>Segundo periodo</t>
        </is>
      </c>
      <c r="C196" t="n">
        <v>22</v>
      </c>
      <c r="D196" t="n">
        <v>194</v>
      </c>
      <c r="E196" s="3" t="n">
        <v>46142</v>
      </c>
      <c r="F196" t="inlineStr">
        <is>
          <t>Punto de Acuerdo</t>
        </is>
      </c>
      <c r="G196" t="inlineStr">
        <is>
          <t>Acuerdo por el que se exhorta a la fiscalía general del estado</t>
        </is>
      </c>
      <c r="H196" t="n">
        <v>3</v>
      </c>
      <c r="I196" t="inlineStr">
        <is>
          <t>Seguridad Pública, Protección Civil y Narcotráfico</t>
        </is>
      </c>
      <c r="J196" t="n">
        <v>9</v>
      </c>
      <c r="K196" t="n">
        <v>0</v>
      </c>
      <c r="L196" t="n">
        <v>0</v>
      </c>
      <c r="M196" t="n">
        <v>0</v>
      </c>
      <c r="N196">
        <f>SUM(J196:M196)</f>
        <v/>
      </c>
      <c r="O196" s="4">
        <f>SUM(J196:L196)/SUM(J196:M196)</f>
        <v/>
      </c>
      <c r="P196" s="5">
        <f>MAX(J196:L196)/SUM(J196:L196)</f>
        <v/>
      </c>
    </row>
    <row r="197">
      <c r="A197" t="inlineStr">
        <is>
          <t>Segundo año</t>
        </is>
      </c>
      <c r="B197" t="inlineStr">
        <is>
          <t>Segundo periodo</t>
        </is>
      </c>
      <c r="C197" t="n">
        <v>23</v>
      </c>
      <c r="D197" t="n">
        <v>195</v>
      </c>
      <c r="E197" s="3" t="n">
        <v>46142</v>
      </c>
      <c r="F197" t="inlineStr">
        <is>
          <t>Punto de Acuerdo</t>
        </is>
      </c>
      <c r="G197" t="inlineStr">
        <is>
          <t>Acuerdo por el que se exhorta al consejo de la judicatura del poder judicial del estado</t>
        </is>
      </c>
      <c r="H197" t="n">
        <v>14</v>
      </c>
      <c r="I197" t="inlineStr">
        <is>
          <t>Justicia y Estado de Derecho</t>
        </is>
      </c>
      <c r="J197" t="n">
        <v>9</v>
      </c>
      <c r="K197" t="n">
        <v>0</v>
      </c>
      <c r="L197" t="n">
        <v>0</v>
      </c>
      <c r="M197" t="n">
        <v>0</v>
      </c>
      <c r="N197">
        <f>SUM(J197:M197)</f>
        <v/>
      </c>
      <c r="O197" s="4">
        <f>SUM(J197:L197)/SUM(J197:M197)</f>
        <v/>
      </c>
      <c r="P197" s="5">
        <f>MAX(J197:L197)/SUM(J197:L197)</f>
        <v/>
      </c>
    </row>
    <row r="198">
      <c r="A198" t="inlineStr">
        <is>
          <t>Segundo año</t>
        </is>
      </c>
      <c r="B198" t="inlineStr">
        <is>
          <t>Segundo periodo</t>
        </is>
      </c>
      <c r="C198" t="n">
        <v>24</v>
      </c>
      <c r="D198" t="n">
        <v>196</v>
      </c>
      <c r="E198" s="3" t="n">
        <v>46142</v>
      </c>
      <c r="F198" t="inlineStr">
        <is>
          <t>Punto de Acuerdo</t>
        </is>
      </c>
      <c r="G198" t="inlineStr">
        <is>
          <t>Acuerdo por el que se exhorta a la fiscalía general del estado y a la secretaría anticorrupción y buen gobierno</t>
        </is>
      </c>
      <c r="H198" t="n">
        <v>10</v>
      </c>
      <c r="I198" t="inlineStr">
        <is>
          <t>Transparencia y Rendición de Cuentas</t>
        </is>
      </c>
      <c r="J198" t="n">
        <v>9</v>
      </c>
      <c r="K198" t="n">
        <v>0</v>
      </c>
      <c r="L198" t="n">
        <v>0</v>
      </c>
      <c r="M198" t="n">
        <v>0</v>
      </c>
      <c r="N198">
        <f>SUM(J198:M198)</f>
        <v/>
      </c>
      <c r="O198" s="4">
        <f>SUM(J198:L198)/SUM(J198:M198)</f>
        <v/>
      </c>
      <c r="P198" s="5">
        <f>MAX(J198:L198)/SUM(J198:L198)</f>
        <v/>
      </c>
    </row>
    <row r="199">
      <c r="A199" t="inlineStr">
        <is>
          <t>Segundo año</t>
        </is>
      </c>
      <c r="B199" t="inlineStr">
        <is>
          <t>Segundo periodo</t>
        </is>
      </c>
      <c r="C199" t="n">
        <v>25</v>
      </c>
      <c r="D199" t="n">
        <v>197</v>
      </c>
      <c r="E199" s="3" t="n">
        <v>46142</v>
      </c>
      <c r="F199" t="inlineStr">
        <is>
          <t>Punto de Acuerdo</t>
        </is>
      </c>
      <c r="G199" t="inlineStr">
        <is>
          <t>Acuerdo por el que se exhorta al instituto poblano de los pueblos indígenas</t>
        </is>
      </c>
      <c r="H199" t="n">
        <v>8</v>
      </c>
      <c r="I199" t="inlineStr">
        <is>
          <t>Educación y Cultura</t>
        </is>
      </c>
      <c r="J199" t="n">
        <v>9</v>
      </c>
      <c r="K199" t="n">
        <v>0</v>
      </c>
      <c r="L199" t="n">
        <v>0</v>
      </c>
      <c r="M199" t="n">
        <v>0</v>
      </c>
      <c r="N199">
        <f>SUM(J199:M199)</f>
        <v/>
      </c>
      <c r="O199" s="4">
        <f>SUM(J199:L199)/SUM(J199:M199)</f>
        <v/>
      </c>
      <c r="P199" s="5">
        <f>MAX(J199:L199)/SUM(J199:L199)</f>
        <v/>
      </c>
    </row>
    <row r="200">
      <c r="A200" t="inlineStr">
        <is>
          <t>Segundo año</t>
        </is>
      </c>
      <c r="B200" t="inlineStr">
        <is>
          <t>Segundo periodo</t>
        </is>
      </c>
      <c r="C200" t="n">
        <v>26</v>
      </c>
      <c r="D200" t="n">
        <v>198</v>
      </c>
      <c r="E200" s="3" t="n">
        <v>46142</v>
      </c>
      <c r="F200" t="inlineStr">
        <is>
          <t>Punto de Acuerdo</t>
        </is>
      </c>
      <c r="G200" t="inlineStr">
        <is>
          <t>Acuerdo por el que se exhorta al instituto poblano de los pueblos indígenas</t>
        </is>
      </c>
      <c r="H200" t="n">
        <v>18</v>
      </c>
      <c r="I200" t="inlineStr">
        <is>
          <t>Administración Pública</t>
        </is>
      </c>
      <c r="J200" t="n">
        <v>9</v>
      </c>
      <c r="K200" t="n">
        <v>0</v>
      </c>
      <c r="L200" t="n">
        <v>0</v>
      </c>
      <c r="M200" t="n">
        <v>0</v>
      </c>
      <c r="N200">
        <f>SUM(J200:M200)</f>
        <v/>
      </c>
      <c r="O200" s="4">
        <f>SUM(J200:L200)/SUM(J200:M200)</f>
        <v/>
      </c>
      <c r="P200" s="5">
        <f>MAX(J200:L200)/SUM(J200:L200)</f>
        <v/>
      </c>
    </row>
    <row r="201">
      <c r="A201" t="inlineStr">
        <is>
          <t>Segundo año</t>
        </is>
      </c>
      <c r="B201" t="inlineStr">
        <is>
          <t>Segundo periodo</t>
        </is>
      </c>
      <c r="C201" t="n">
        <v>27</v>
      </c>
      <c r="D201" t="n">
        <v>199</v>
      </c>
      <c r="E201" s="3" t="n">
        <v>46142</v>
      </c>
      <c r="F201" t="inlineStr">
        <is>
          <t>Punto de Acuerdo</t>
        </is>
      </c>
      <c r="G201" t="inlineStr">
        <is>
          <t>Acuerdo por el que se exhorta a la secretaría de agricultura y desarrollo rural</t>
        </is>
      </c>
      <c r="H201" t="n">
        <v>12</v>
      </c>
      <c r="I201" t="inlineStr">
        <is>
          <t>Agricultura, Ganadería y Pesca</t>
        </is>
      </c>
      <c r="J201" t="n">
        <v>9</v>
      </c>
      <c r="K201" t="n">
        <v>0</v>
      </c>
      <c r="L201" t="n">
        <v>0</v>
      </c>
      <c r="M201" t="n">
        <v>0</v>
      </c>
      <c r="N201">
        <f>SUM(J201:M201)</f>
        <v/>
      </c>
      <c r="O201" s="4">
        <f>SUM(J201:L201)/SUM(J201:M201)</f>
        <v/>
      </c>
      <c r="P201" s="5">
        <f>MAX(J201:L201)/SUM(J201:L201)</f>
        <v/>
      </c>
    </row>
    <row r="202">
      <c r="A202" t="inlineStr">
        <is>
          <t>Segundo año</t>
        </is>
      </c>
      <c r="B202" t="inlineStr">
        <is>
          <t>Segundo periodo</t>
        </is>
      </c>
      <c r="C202" t="n">
        <v>28</v>
      </c>
      <c r="D202" t="n">
        <v>200</v>
      </c>
      <c r="E202" s="3" t="n">
        <v>46142</v>
      </c>
      <c r="F202" t="inlineStr">
        <is>
          <t>Punto de Acuerdo</t>
        </is>
      </c>
      <c r="G202" t="inlineStr">
        <is>
          <t>Acuerdo por el que se exhorta a la secretaría de agricultura y desarrollo rural del estado</t>
        </is>
      </c>
      <c r="H202" t="n">
        <v>12</v>
      </c>
      <c r="I202" t="inlineStr">
        <is>
          <t>Agricultura, Ganadería y Pesca</t>
        </is>
      </c>
      <c r="J202" t="n">
        <v>9</v>
      </c>
      <c r="K202" t="n">
        <v>0</v>
      </c>
      <c r="L202" t="n">
        <v>0</v>
      </c>
      <c r="M202" t="n">
        <v>0</v>
      </c>
      <c r="N202">
        <f>SUM(J202:M202)</f>
        <v/>
      </c>
      <c r="O202" s="4">
        <f>SUM(J202:L202)/SUM(J202:M202)</f>
        <v/>
      </c>
      <c r="P202" s="5">
        <f>MAX(J202:L202)/SUM(J202:L202)</f>
        <v/>
      </c>
    </row>
    <row r="203">
      <c r="A203" t="inlineStr">
        <is>
          <t>Segundo año</t>
        </is>
      </c>
      <c r="B203" t="inlineStr">
        <is>
          <t>Segundo periodo</t>
        </is>
      </c>
      <c r="C203" t="n">
        <v>29</v>
      </c>
      <c r="D203" t="n">
        <v>201</v>
      </c>
      <c r="E203" s="3" t="n">
        <v>46149</v>
      </c>
      <c r="F203" t="inlineStr">
        <is>
          <t>Punto de Acuerdo</t>
        </is>
      </c>
      <c r="G203" t="inlineStr">
        <is>
          <t>Acuerdo por el que se exhorta a los doscientos doce ayuntamientos y cinco concejos municipales del estado, para que, en el ámbito de su competencia, diseñen y ejecuten una estrategia para el retiro de los obstáculos irregulares que limiten la movilidad peatonal</t>
        </is>
      </c>
      <c r="H203" t="n">
        <v>11</v>
      </c>
      <c r="I203" t="inlineStr">
        <is>
          <t>Infraestructura, Movilidad y Transporte</t>
        </is>
      </c>
      <c r="J203" t="n">
        <v>5</v>
      </c>
      <c r="K203" t="n">
        <v>0</v>
      </c>
      <c r="L203" t="n">
        <v>0</v>
      </c>
      <c r="M203" t="n">
        <v>36</v>
      </c>
      <c r="N203">
        <f>SUM(J203:M203)</f>
        <v/>
      </c>
      <c r="O203" s="4">
        <f>SUM(J203:L203)/SUM(J203:M203)</f>
        <v/>
      </c>
      <c r="P203" s="5">
        <f>MAX(J203:L203)/SUM(J203:L203)</f>
        <v/>
      </c>
    </row>
    <row r="204">
      <c r="A204" t="inlineStr">
        <is>
          <t>Segundo año</t>
        </is>
      </c>
      <c r="B204" t="inlineStr">
        <is>
          <t>Segundo periodo</t>
        </is>
      </c>
      <c r="C204" t="n">
        <v>30</v>
      </c>
      <c r="D204" t="n">
        <v>202</v>
      </c>
      <c r="E204" s="3" t="n">
        <v>46149</v>
      </c>
      <c r="F204" t="inlineStr">
        <is>
          <t>Punto de Acuerdo</t>
        </is>
      </c>
      <c r="G204" t="inlineStr">
        <is>
          <t>Acuerdo por el que se exhorta a la secretaría de infraestructura del estado, así como a la secretaría de infraestructura, comunicaciones y transportes centro, para que, en el ámbito de su respectiva competencia y en coordinación con los ayuntamientos de los veintitrés municipios incluidos en la declaratoria de desastre natural</t>
        </is>
      </c>
      <c r="H204" t="n">
        <v>11</v>
      </c>
      <c r="I204" t="inlineStr">
        <is>
          <t>Infraestructura, Movilidad y Transporte</t>
        </is>
      </c>
      <c r="J204" t="n">
        <v>5</v>
      </c>
      <c r="K204" t="n">
        <v>0</v>
      </c>
      <c r="L204" t="n">
        <v>0</v>
      </c>
      <c r="M204" t="n">
        <v>36</v>
      </c>
      <c r="N204">
        <f>SUM(J204:M204)</f>
        <v/>
      </c>
      <c r="O204" s="4">
        <f>SUM(J204:L204)/SUM(J204:M204)</f>
        <v/>
      </c>
      <c r="P204" s="5">
        <f>MAX(J204:L204)/SUM(J204:L204)</f>
        <v/>
      </c>
    </row>
    <row r="205">
      <c r="A205" t="inlineStr">
        <is>
          <t>Segundo año</t>
        </is>
      </c>
      <c r="B205" t="inlineStr">
        <is>
          <t>Segundo periodo</t>
        </is>
      </c>
      <c r="C205" t="n">
        <v>31</v>
      </c>
      <c r="D205" t="n">
        <v>203</v>
      </c>
      <c r="E205" s="3" t="n">
        <v>46149</v>
      </c>
      <c r="F205" t="inlineStr">
        <is>
          <t>Punto de Acuerdo</t>
        </is>
      </c>
      <c r="G205" t="inlineStr">
        <is>
          <t>Acuerdo por el que se exhorta a la secretaría de infraestructura del estado y al organismo público descentralizado denominado “carreteras de cuota ”, para que, en el ámbito de su competencia y en coordinación con los ayuntamientos de la entidad, realicen el diagnóstico de las carreteras y autopistas estatales</t>
        </is>
      </c>
      <c r="H205" t="n">
        <v>11</v>
      </c>
      <c r="I205" t="inlineStr">
        <is>
          <t>Infraestructura, Movilidad y Transporte</t>
        </is>
      </c>
      <c r="J205" t="n">
        <v>7</v>
      </c>
      <c r="K205" t="n">
        <v>0</v>
      </c>
      <c r="L205" t="n">
        <v>0</v>
      </c>
      <c r="M205" t="n">
        <v>34</v>
      </c>
      <c r="N205">
        <f>SUM(J205:M205)</f>
        <v/>
      </c>
      <c r="O205" s="4">
        <f>SUM(J205:L205)/SUM(J205:M205)</f>
        <v/>
      </c>
      <c r="P205" s="5">
        <f>MAX(J205:L205)/SUM(J205:L205)</f>
        <v/>
      </c>
    </row>
    <row r="206">
      <c r="A206" t="inlineStr">
        <is>
          <t>Segundo año</t>
        </is>
      </c>
      <c r="B206" t="inlineStr">
        <is>
          <t>Tercer periodo</t>
        </is>
      </c>
      <c r="C206" t="n">
        <v>1</v>
      </c>
      <c r="D206" t="n">
        <v>204</v>
      </c>
      <c r="E206" s="3" t="n">
        <v>46171</v>
      </c>
      <c r="F206" t="inlineStr">
        <is>
          <t>Iniciativa</t>
        </is>
      </c>
      <c r="G206" t="inlineStr">
        <is>
          <t>Dictamen con minuta Proyecto de decreto que presenta la comisión de gobernación y puntos constitucionales, por el que se reforman y adicionan diversas disposiciones de la constitución política de los estados unidos mexicanos, en materia de reforma del poder judicial</t>
        </is>
      </c>
      <c r="H206" t="n">
        <v>14</v>
      </c>
      <c r="I206" t="inlineStr">
        <is>
          <t>Justicia y Estado de Derecho</t>
        </is>
      </c>
      <c r="J206" t="n">
        <v>28</v>
      </c>
      <c r="K206" t="n">
        <v>7</v>
      </c>
      <c r="L206" t="n">
        <v>0</v>
      </c>
      <c r="M206" t="n">
        <v>6</v>
      </c>
      <c r="N206">
        <f>SUM(J206:M206)</f>
        <v/>
      </c>
      <c r="O206" s="4">
        <f>SUM(J206:L206)/SUM(J206:M206)</f>
        <v/>
      </c>
      <c r="P206" s="5">
        <f>MAX(J206:L206)/SUM(J206:L206)</f>
        <v/>
      </c>
    </row>
    <row r="207">
      <c r="A207" t="inlineStr">
        <is>
          <t>Segundo año</t>
        </is>
      </c>
      <c r="B207" t="inlineStr">
        <is>
          <t>Tercer periodo</t>
        </is>
      </c>
      <c r="C207" t="n">
        <v>2</v>
      </c>
      <c r="D207" t="n">
        <v>205</v>
      </c>
      <c r="E207" s="3" t="n">
        <v>46171</v>
      </c>
      <c r="F207" t="inlineStr">
        <is>
          <t>Iniciativa</t>
        </is>
      </c>
      <c r="G207" t="inlineStr">
        <is>
          <t>Dictamen con minuta Proyecto de decreto que presenta la comisión de gobernación y puntos constitucionales, por el que se adiciona un inciso d) al párrafo tercero de la base vi del artículo 41 de la constitución política de los , para introducir una nueva causal de nulidad de elecciones por intervención extranjera</t>
        </is>
      </c>
      <c r="H207" t="n">
        <v>4</v>
      </c>
      <c r="I207" t="inlineStr">
        <is>
          <t>Partidos Políticos y Elecciones</t>
        </is>
      </c>
      <c r="J207" t="n">
        <v>28</v>
      </c>
      <c r="K207" t="n">
        <v>7</v>
      </c>
      <c r="L207" t="n">
        <v>0</v>
      </c>
      <c r="M207" t="n">
        <v>6</v>
      </c>
      <c r="N207">
        <f>SUM(J207:M207)</f>
        <v/>
      </c>
      <c r="O207" s="4">
        <f>SUM(J207:L207)/SUM(J207:M207)</f>
        <v/>
      </c>
      <c r="P207" s="5">
        <f>MAX(J207:L207)/SUM(J207:L207)</f>
        <v/>
      </c>
    </row>
    <row r="208">
      <c r="A208" t="inlineStr">
        <is>
          <t>Segundo año</t>
        </is>
      </c>
      <c r="B208" t="inlineStr">
        <is>
          <t>Tercer periodo</t>
        </is>
      </c>
      <c r="C208" t="n">
        <v>3</v>
      </c>
      <c r="D208" t="n">
        <v>206</v>
      </c>
      <c r="E208" s="3" t="n">
        <v>46177</v>
      </c>
      <c r="F208" t="inlineStr">
        <is>
          <t>Iniciativa</t>
        </is>
      </c>
      <c r="G208" t="inlineStr">
        <is>
          <t>Dictamen con minuta de decreto por el cual se otorga a los ciudadanos: General de División del Estado Mayor retirado José Alfredo González Rodríguez y al maestro Salvador Sánchez Trujillo, la presea “General Ignacio Zaragoza”</t>
        </is>
      </c>
      <c r="H208" t="n">
        <v>18</v>
      </c>
      <c r="I208" t="inlineStr">
        <is>
          <t>Administración Pública</t>
        </is>
      </c>
      <c r="J208" t="n">
        <v>39</v>
      </c>
      <c r="K208" t="n">
        <v>0</v>
      </c>
      <c r="L208" t="n">
        <v>0</v>
      </c>
      <c r="M208" t="n">
        <v>2</v>
      </c>
      <c r="N208">
        <f>SUM(J208:M208)</f>
        <v/>
      </c>
      <c r="O208" s="4">
        <f>SUM(J208:L208)/SUM(J208:M208)</f>
        <v/>
      </c>
      <c r="P208" s="5">
        <f>MAX(J208:L208)/SUM(J208:L208)</f>
        <v/>
      </c>
    </row>
    <row r="209">
      <c r="A209" t="inlineStr">
        <is>
          <t>Segundo año</t>
        </is>
      </c>
      <c r="B209" t="inlineStr">
        <is>
          <t>Tercer periodo</t>
        </is>
      </c>
      <c r="C209" t="n">
        <v>4</v>
      </c>
      <c r="D209" t="n">
        <v>207</v>
      </c>
      <c r="E209" s="3" t="n">
        <v>46177</v>
      </c>
      <c r="F209" t="inlineStr">
        <is>
          <t>Iniciativa</t>
        </is>
      </c>
      <c r="G209" t="inlineStr">
        <is>
          <t>Dictamen con minuta de decreto por el cual se reforman las fracciones III, IV y V y se adiciona la fracción VI al artículo 19 de la Ley de Seguridad Integral Escolar para el Estado libre y soberano de</t>
        </is>
      </c>
      <c r="H209" t="n">
        <v>3</v>
      </c>
      <c r="I209" t="inlineStr">
        <is>
          <t>Seguridad Pública, Protección Civil y Narcotráfico</t>
        </is>
      </c>
      <c r="J209" t="n">
        <v>39</v>
      </c>
      <c r="K209" t="n">
        <v>0</v>
      </c>
      <c r="L209" t="n">
        <v>0</v>
      </c>
      <c r="M209" t="n">
        <v>2</v>
      </c>
      <c r="N209">
        <f>SUM(J209:M209)</f>
        <v/>
      </c>
      <c r="O209" s="4">
        <f>SUM(J209:L209)/SUM(J209:M209)</f>
        <v/>
      </c>
      <c r="P209" s="5">
        <f>MAX(J209:L209)/SUM(J209:L209)</f>
        <v/>
      </c>
    </row>
    <row r="210">
      <c r="A210" t="inlineStr">
        <is>
          <t>Segundo año</t>
        </is>
      </c>
      <c r="B210" t="inlineStr">
        <is>
          <t>Tercer periodo</t>
        </is>
      </c>
      <c r="C210" t="n">
        <v>5</v>
      </c>
      <c r="D210" t="n">
        <v>208</v>
      </c>
      <c r="E210" s="3" t="n">
        <v>46177</v>
      </c>
      <c r="F210" t="inlineStr">
        <is>
          <t>Punto de Acuerdo</t>
        </is>
      </c>
      <c r="G210" t="inlineStr">
        <is>
          <t>Acuerdo por el que se exhorta a la Secretaría de Educación Pública del Estado, para que, de manera coordinada con la Comisión Estatal de Derechos Humanos, diseñe, fortalezca e implemente la normatividad en materia de seguridad escolar</t>
        </is>
      </c>
      <c r="H210" t="n">
        <v>8</v>
      </c>
      <c r="I210" t="inlineStr">
        <is>
          <t>Educación y Cultura</t>
        </is>
      </c>
      <c r="J210" t="n">
        <v>39</v>
      </c>
      <c r="K210" t="n">
        <v>0</v>
      </c>
      <c r="L210" t="n">
        <v>0</v>
      </c>
      <c r="M210" t="n">
        <v>2</v>
      </c>
      <c r="N210">
        <f>SUM(J210:M210)</f>
        <v/>
      </c>
      <c r="O210" s="4">
        <f>SUM(J210:L210)/SUM(J210:M210)</f>
        <v/>
      </c>
      <c r="P210" s="5">
        <f>MAX(J210:L210)/SUM(J210:L210)</f>
        <v/>
      </c>
    </row>
    <row r="211">
      <c r="A211" t="inlineStr">
        <is>
          <t>Segundo año</t>
        </is>
      </c>
      <c r="B211" t="inlineStr">
        <is>
          <t>Tercer periodo</t>
        </is>
      </c>
      <c r="C211" t="n">
        <v>6</v>
      </c>
      <c r="D211" t="n">
        <v>209</v>
      </c>
      <c r="E211" s="3" t="n">
        <v>46177</v>
      </c>
      <c r="F211" t="inlineStr">
        <is>
          <t>Punto de Acuerdo</t>
        </is>
      </c>
      <c r="G211" t="inlineStr">
        <is>
          <t>Acuerdo por el que se exhorta a la Comisión Nacional de Vivienda, para que fortalezca la difusión y facilite la inscripción dentro del programa “Vivienda para el Bienestar” a personas en situación de vulnerabilidad</t>
        </is>
      </c>
      <c r="H211" t="n">
        <v>2</v>
      </c>
      <c r="I211" t="inlineStr">
        <is>
          <t>Pobreza y Política Social</t>
        </is>
      </c>
      <c r="J211" t="n">
        <v>39</v>
      </c>
      <c r="K211" t="n">
        <v>0</v>
      </c>
      <c r="L211" t="n">
        <v>0</v>
      </c>
      <c r="M211" t="n">
        <v>2</v>
      </c>
      <c r="N211">
        <f>SUM(J211:M211)</f>
        <v/>
      </c>
      <c r="O211" s="4">
        <f>SUM(J211:L211)/SUM(J211:M211)</f>
        <v/>
      </c>
      <c r="P211" s="5">
        <f>MAX(J211:L211)/SUM(J211:L211)</f>
        <v/>
      </c>
    </row>
    <row r="212">
      <c r="A212" t="inlineStr">
        <is>
          <t>Segundo año</t>
        </is>
      </c>
      <c r="B212" t="inlineStr">
        <is>
          <t>Tercer periodo</t>
        </is>
      </c>
      <c r="C212" t="n">
        <v>7</v>
      </c>
      <c r="D212" t="n">
        <v>210</v>
      </c>
      <c r="E212" s="3" t="n">
        <v>46177</v>
      </c>
      <c r="F212" t="inlineStr">
        <is>
          <t>Punto de Acuerdo</t>
        </is>
      </c>
      <c r="G212" t="inlineStr">
        <is>
          <t>Acuerdo por el cual se somete a consideración del pleno la dispensa de trámites para el punto de acuerdo que solicita exhortar a la Secretaría de Infraestructura del Gobierno del Estado de , para que informe el estado que guarda el cumplimiento del punto de acuerdo aprobado por el honorable congreso del estado</t>
        </is>
      </c>
      <c r="H212" t="n">
        <v>11</v>
      </c>
      <c r="I212" t="inlineStr">
        <is>
          <t>Infraestructura, Movilidad y Transporte</t>
        </is>
      </c>
      <c r="J212" t="n">
        <v>5</v>
      </c>
      <c r="K212" t="n">
        <v>22</v>
      </c>
      <c r="L212" t="n">
        <v>0</v>
      </c>
      <c r="M212" t="n">
        <v>14</v>
      </c>
      <c r="N212">
        <f>SUM(J212:M212)</f>
        <v/>
      </c>
      <c r="O212" s="4">
        <f>SUM(J212:L212)/SUM(J212:M212)</f>
        <v/>
      </c>
      <c r="P212" s="5">
        <f>MAX(J212:L212)/SUM(J212:L212)</f>
        <v/>
      </c>
    </row>
    <row r="213">
      <c r="A213" t="inlineStr">
        <is>
          <t>Segundo año</t>
        </is>
      </c>
      <c r="B213" t="inlineStr">
        <is>
          <t>Tercer periodo</t>
        </is>
      </c>
      <c r="C213" t="n">
        <v>8</v>
      </c>
      <c r="D213" t="n">
        <v>211</v>
      </c>
      <c r="E213" s="3" t="n">
        <v>46184</v>
      </c>
      <c r="F213" t="inlineStr">
        <is>
          <t>Iniciativa</t>
        </is>
      </c>
      <c r="G213" t="inlineStr">
        <is>
          <t>Dictamen con minuta de decreto por el cual se reforman las fracciones XVI y XVII del artículo 1; y se adiciona la fracción XVIII al artículo 1; ambos de la ley de fomento a la investigación científica, tecnológica, humanística y a la innovación para el estado de Puebla</t>
        </is>
      </c>
      <c r="H213" t="n">
        <v>18</v>
      </c>
      <c r="I213" t="inlineStr">
        <is>
          <t>Administración Pública</t>
        </is>
      </c>
      <c r="J213" t="n">
        <v>35</v>
      </c>
      <c r="K213" t="n">
        <v>0</v>
      </c>
      <c r="L213" t="n">
        <v>0</v>
      </c>
      <c r="M213" t="n">
        <v>0</v>
      </c>
      <c r="N213">
        <f>SUM(J213:M213)</f>
        <v/>
      </c>
      <c r="O213" s="4">
        <f>SUM(J213:L213)/SUM(J213:M213)</f>
        <v/>
      </c>
      <c r="P213" s="5">
        <f>MAX(J213:L213)/SUM(J213:L213)</f>
        <v/>
      </c>
    </row>
    <row r="214">
      <c r="A214" t="inlineStr">
        <is>
          <t>Segundo año</t>
        </is>
      </c>
      <c r="B214" t="inlineStr">
        <is>
          <t>Tercer periodo</t>
        </is>
      </c>
      <c r="C214" t="n">
        <v>9</v>
      </c>
      <c r="D214" t="n">
        <v>212</v>
      </c>
      <c r="E214" s="3" t="n">
        <v>46184</v>
      </c>
      <c r="F214" t="inlineStr">
        <is>
          <t>Iniciativa</t>
        </is>
      </c>
      <c r="G214" t="inlineStr">
        <is>
          <t>Dictamen con minuta de decreto por el cual se adiciona el artículo 25 bis a la ley para el acceso de las mujeres a una vida libre de violencia del estado de Puebla</t>
        </is>
      </c>
      <c r="H214" t="n">
        <v>20</v>
      </c>
      <c r="I214" t="inlineStr">
        <is>
          <t>Justicia y Estado de Derecho en temas de Mujeres</t>
        </is>
      </c>
      <c r="J214" t="n">
        <v>37</v>
      </c>
      <c r="K214" t="n">
        <v>0</v>
      </c>
      <c r="L214" t="n">
        <v>0</v>
      </c>
      <c r="M214" t="n">
        <v>0</v>
      </c>
      <c r="N214">
        <f>SUM(J214:M214)</f>
        <v/>
      </c>
      <c r="O214" s="4">
        <f>SUM(J214:L214)/SUM(J214:M214)</f>
        <v/>
      </c>
      <c r="P214" s="5">
        <f>MAX(J214:L214)/SUM(J214:L214)</f>
        <v/>
      </c>
    </row>
    <row r="215">
      <c r="A215" t="inlineStr">
        <is>
          <t>Segundo año</t>
        </is>
      </c>
      <c r="B215" t="inlineStr">
        <is>
          <t>Tercer periodo</t>
        </is>
      </c>
      <c r="C215" t="n">
        <v>10</v>
      </c>
      <c r="D215" t="n">
        <v>213</v>
      </c>
      <c r="E215" s="3" t="n">
        <v>46184</v>
      </c>
      <c r="F215" t="inlineStr">
        <is>
          <t>Punto de Acuerdo</t>
        </is>
      </c>
      <c r="G215" t="inlineStr">
        <is>
          <t>Acuerdo por el que se exhorta al sistema para el desarrollo integral de la familia del estado de Puebla, así como a los sistemas municipales dif</t>
        </is>
      </c>
      <c r="H215" t="n">
        <v>2</v>
      </c>
      <c r="I215" t="inlineStr">
        <is>
          <t>Pobreza y Política Social</t>
        </is>
      </c>
      <c r="J215" t="n">
        <v>38</v>
      </c>
      <c r="K215" t="n">
        <v>0</v>
      </c>
      <c r="L215" t="n">
        <v>0</v>
      </c>
      <c r="M215" t="n">
        <v>0</v>
      </c>
      <c r="N215">
        <f>SUM(J215:M215)</f>
        <v/>
      </c>
      <c r="O215" s="4">
        <f>SUM(J215:L215)/SUM(J215:M215)</f>
        <v/>
      </c>
      <c r="P215" s="5">
        <f>MAX(J215:L215)/SUM(J215:L215)</f>
        <v/>
      </c>
    </row>
    <row r="216">
      <c r="A216" t="inlineStr">
        <is>
          <t>Segundo año</t>
        </is>
      </c>
      <c r="B216" t="inlineStr">
        <is>
          <t>Tercer periodo</t>
        </is>
      </c>
      <c r="C216" t="n">
        <v>11</v>
      </c>
      <c r="D216" t="n">
        <v>214</v>
      </c>
      <c r="E216" s="3" t="n">
        <v>46191</v>
      </c>
      <c r="F216" t="inlineStr">
        <is>
          <t>Iniciativa</t>
        </is>
      </c>
      <c r="G216" t="inlineStr">
        <is>
          <t>Dictamen con minuta de decreto por el cual se reforman y adicionan diversas disposiciones del decreto que crea el organismo público descentralizado denominado sistema operador de los servicios de agua potable y alcantarillado del municipio de</t>
        </is>
      </c>
      <c r="H216" t="n">
        <v>18</v>
      </c>
      <c r="I216" t="inlineStr">
        <is>
          <t>Administración Pública</t>
        </is>
      </c>
      <c r="J216" t="n">
        <v>27</v>
      </c>
      <c r="K216" t="n">
        <v>0</v>
      </c>
      <c r="L216" t="n">
        <v>6</v>
      </c>
      <c r="M216" t="n">
        <v>0</v>
      </c>
      <c r="N216">
        <f>SUM(J216:M216)</f>
        <v/>
      </c>
      <c r="O216" s="4">
        <f>SUM(J216:L216)/SUM(J216:M216)</f>
        <v/>
      </c>
      <c r="P216" s="5">
        <f>MAX(J216:L216)/SUM(J216:L216)</f>
        <v/>
      </c>
    </row>
    <row r="217">
      <c r="A217" t="inlineStr">
        <is>
          <t>Segundo año</t>
        </is>
      </c>
      <c r="B217" t="inlineStr">
        <is>
          <t>Tercer periodo</t>
        </is>
      </c>
      <c r="C217" t="n">
        <v>12</v>
      </c>
      <c r="D217" t="n">
        <v>215</v>
      </c>
      <c r="E217" s="3" t="n">
        <v>46198</v>
      </c>
      <c r="F217" t="inlineStr">
        <is>
          <t>Iniciativa</t>
        </is>
      </c>
      <c r="G217" t="inlineStr">
        <is>
          <t>Dictamen con minuta de decreto por el cual se reforman y derogan diversas disposiciones de la Ley de Transparencia y Acceso a la Información Pública del Estado de y de la Ley de Protección de Datos Personales en posesión de sujetos obligados del Estado de</t>
        </is>
      </c>
      <c r="H217" t="n">
        <v>10</v>
      </c>
      <c r="I217" t="inlineStr">
        <is>
          <t>Transparencia y Rendición de Cuentas</t>
        </is>
      </c>
      <c r="J217" t="n">
        <v>29</v>
      </c>
      <c r="K217" t="n">
        <v>6</v>
      </c>
      <c r="L217" t="n">
        <v>2</v>
      </c>
      <c r="M217" t="n">
        <v>4</v>
      </c>
      <c r="N217">
        <f>SUM(J217:M217)</f>
        <v/>
      </c>
      <c r="O217" s="4">
        <f>SUM(J217:L217)/SUM(J217:M217)</f>
        <v/>
      </c>
      <c r="P217" s="5">
        <f>MAX(J217:L217)/SUM(J217:L217)</f>
        <v/>
      </c>
    </row>
    <row r="218">
      <c r="A218" t="inlineStr">
        <is>
          <t>Segundo año</t>
        </is>
      </c>
      <c r="B218" t="inlineStr">
        <is>
          <t>Tercer periodo</t>
        </is>
      </c>
      <c r="C218" t="n">
        <v>13</v>
      </c>
      <c r="D218" t="n">
        <v>216</v>
      </c>
      <c r="E218" s="3" t="n">
        <v>46198</v>
      </c>
      <c r="F218" t="inlineStr">
        <is>
          <t>Iniciativa</t>
        </is>
      </c>
      <c r="G218" t="inlineStr">
        <is>
          <t>Dictamen con minuta de decreto por el cual se reforman y adicionan diversas disposiciones de la Ley de Desarrollo Social para el Estado de</t>
        </is>
      </c>
      <c r="H218" t="n">
        <v>2</v>
      </c>
      <c r="I218" t="inlineStr">
        <is>
          <t>Pobreza y Política Social</t>
        </is>
      </c>
      <c r="J218" t="n">
        <v>37</v>
      </c>
      <c r="K218" t="n">
        <v>0</v>
      </c>
      <c r="L218" t="n">
        <v>0</v>
      </c>
      <c r="M218" t="n">
        <v>0</v>
      </c>
      <c r="N218">
        <f>SUM(J218:M218)</f>
        <v/>
      </c>
      <c r="O218" s="4">
        <f>SUM(J218:L218)/SUM(J218:M218)</f>
        <v/>
      </c>
      <c r="P218" s="5">
        <f>MAX(J218:L218)/SUM(J218:L218)</f>
        <v/>
      </c>
    </row>
    <row r="219">
      <c r="A219" t="inlineStr">
        <is>
          <t>Segundo año</t>
        </is>
      </c>
      <c r="B219" t="inlineStr">
        <is>
          <t>Tercer periodo</t>
        </is>
      </c>
      <c r="C219" t="n">
        <v>14</v>
      </c>
      <c r="D219" t="n">
        <v>217</v>
      </c>
      <c r="E219" s="3" t="n">
        <v>46198</v>
      </c>
      <c r="F219" t="inlineStr">
        <is>
          <t>Iniciativa</t>
        </is>
      </c>
      <c r="G219" t="inlineStr">
        <is>
          <t>Dictamen con minuta de decreto por el cual se reforman las fracciones I, II, III, IV, VIII y IX del artículo 28; y se adicionan las fracciones X y XI al artículo 28, todas de la Ley Estatal del Deporte</t>
        </is>
      </c>
      <c r="H219" t="n">
        <v>8</v>
      </c>
      <c r="I219" t="inlineStr">
        <is>
          <t>Educación y Cultura</t>
        </is>
      </c>
      <c r="J219" t="n">
        <v>37</v>
      </c>
      <c r="K219" t="n">
        <v>0</v>
      </c>
      <c r="L219" t="n">
        <v>0</v>
      </c>
      <c r="M219" t="n">
        <v>0</v>
      </c>
      <c r="N219">
        <f>SUM(J219:M219)</f>
        <v/>
      </c>
      <c r="O219" s="4">
        <f>SUM(J219:L219)/SUM(J219:M219)</f>
        <v/>
      </c>
      <c r="P219" s="5">
        <f>MAX(J219:L219)/SUM(J219:L219)</f>
        <v/>
      </c>
    </row>
    <row r="220">
      <c r="A220" t="inlineStr">
        <is>
          <t>Segundo año</t>
        </is>
      </c>
      <c r="B220" t="inlineStr">
        <is>
          <t>Tercer periodo</t>
        </is>
      </c>
      <c r="C220" t="n">
        <v>15</v>
      </c>
      <c r="D220" t="n">
        <v>218</v>
      </c>
      <c r="E220" s="3" t="n">
        <v>46198</v>
      </c>
      <c r="F220" t="inlineStr">
        <is>
          <t>Punto de Acuerdo</t>
        </is>
      </c>
      <c r="G220" t="inlineStr">
        <is>
          <t>Acuerdo por el que se exhorta a la Secretaría de Arte y Cultura; a la Secretaría de Desarrollo Económico y Trabajo; y a la Secretaría de Desarrollo Turístico, todas del estado, para que, de manera coordinada, diseñen e implementen una estrategia de promoción e incentivos que posicione al estado como destino fílmico nacional e internacional</t>
        </is>
      </c>
      <c r="H220" t="n">
        <v>1</v>
      </c>
      <c r="I220" t="inlineStr">
        <is>
          <t>Economía, Comercio y Competitividad</t>
        </is>
      </c>
      <c r="J220" t="n">
        <v>37</v>
      </c>
      <c r="K220" t="n">
        <v>0</v>
      </c>
      <c r="L220" t="n">
        <v>0</v>
      </c>
      <c r="M220" t="n">
        <v>0</v>
      </c>
      <c r="N220">
        <f>SUM(J220:M220)</f>
        <v/>
      </c>
      <c r="O220" s="4">
        <f>SUM(J220:L220)/SUM(J220:M220)</f>
        <v/>
      </c>
      <c r="P220" s="5">
        <f>MAX(J220:L220)/SUM(J220:L220)</f>
        <v/>
      </c>
    </row>
    <row r="221">
      <c r="A221" t="inlineStr">
        <is>
          <t>Segundo año</t>
        </is>
      </c>
      <c r="B221" t="inlineStr">
        <is>
          <t>Tercer periodo</t>
        </is>
      </c>
      <c r="C221" t="n">
        <v>16</v>
      </c>
      <c r="D221" t="n">
        <v>219</v>
      </c>
      <c r="E221" s="3" t="n">
        <v>46198</v>
      </c>
      <c r="F221" t="inlineStr">
        <is>
          <t>Punto de Acuerdo</t>
        </is>
      </c>
      <c r="G221" t="inlineStr">
        <is>
          <t>Acuerdo por el que se exhorta a la Secretaría de Arte y Cultura, y a la Secretaría de Desarrollo Turístico, ambas del estado, para que, en coordinación con los doscientos doce ayuntamientos y cinco concejos municipales y en el ámbito de su respectiva competencia, diseñen e implementen un programa integral de difusión y promoción permanente</t>
        </is>
      </c>
      <c r="H221" t="n">
        <v>1</v>
      </c>
      <c r="I221" t="inlineStr">
        <is>
          <t>Economía, Comercio y Competitividad</t>
        </is>
      </c>
      <c r="J221" t="n">
        <v>37</v>
      </c>
      <c r="K221" t="n">
        <v>0</v>
      </c>
      <c r="L221" t="n">
        <v>0</v>
      </c>
      <c r="M221" t="n">
        <v>0</v>
      </c>
      <c r="N221">
        <f>SUM(J221:M221)</f>
        <v/>
      </c>
      <c r="O221" s="4">
        <f>SUM(J221:L221)/SUM(J221:M221)</f>
        <v/>
      </c>
      <c r="P221" s="5">
        <f>MAX(J221:L221)/SUM(J221:L221)</f>
        <v/>
      </c>
    </row>
    <row r="222">
      <c r="A222" t="inlineStr">
        <is>
          <t>Segundo año</t>
        </is>
      </c>
      <c r="B222" t="inlineStr">
        <is>
          <t>Tercer periodo</t>
        </is>
      </c>
      <c r="C222" t="n">
        <v>17</v>
      </c>
      <c r="D222" t="n">
        <v>220</v>
      </c>
      <c r="E222" s="3" t="n">
        <v>46198</v>
      </c>
      <c r="F222" t="inlineStr">
        <is>
          <t>Punto de Acuerdo</t>
        </is>
      </c>
      <c r="G222" t="inlineStr">
        <is>
          <t>Acuerdo por el que se exhorta a la Secretaría de Arte y Cultura, y a la Secretaría de Desarrollo Turístico, ambas del estado, así como a los doscientos doce ayuntamientos y cinco concejos municipales de la entidad, para que emitan convocatorias públicas para la participación de artistas locales en los eventos que organicen</t>
        </is>
      </c>
      <c r="H222" t="n">
        <v>8</v>
      </c>
      <c r="I222" t="inlineStr">
        <is>
          <t>Educación y Cultura</t>
        </is>
      </c>
      <c r="J222" t="n">
        <v>37</v>
      </c>
      <c r="K222" t="n">
        <v>0</v>
      </c>
      <c r="L222" t="n">
        <v>0</v>
      </c>
      <c r="M222" t="n">
        <v>0</v>
      </c>
      <c r="N222">
        <f>SUM(J222:M222)</f>
        <v/>
      </c>
      <c r="O222" s="4">
        <f>SUM(J222:L222)/SUM(J222:M222)</f>
        <v/>
      </c>
      <c r="P222" s="5">
        <f>MAX(J222:L222)/SUM(J222:L222)</f>
        <v/>
      </c>
    </row>
    <row r="223">
      <c r="A223" t="inlineStr">
        <is>
          <t>Segundo año</t>
        </is>
      </c>
      <c r="B223" t="inlineStr">
        <is>
          <t>Tercer periodo</t>
        </is>
      </c>
      <c r="C223" t="n">
        <v>18</v>
      </c>
      <c r="D223" t="n">
        <v>221</v>
      </c>
      <c r="E223" s="3" t="n">
        <v>46198</v>
      </c>
      <c r="F223" t="inlineStr">
        <is>
          <t>Punto de Acuerdo</t>
        </is>
      </c>
      <c r="G223" t="inlineStr">
        <is>
          <t>Acuerdo por el que se exhorta a la Secretaría de Movilidad y Transporte del estado, para que estudie la viabilidad y, en su caso, permita la portación en medios digitales, copias certificadas o validaciones electrónicas de los documentos establecidos en el artículo 19 del reglamento de la Ley de Transporte del estado de</t>
        </is>
      </c>
      <c r="H223" t="n">
        <v>11</v>
      </c>
      <c r="I223" t="inlineStr">
        <is>
          <t>Infraestructura, Movilidad y Transporte</t>
        </is>
      </c>
      <c r="J223" t="n">
        <v>37</v>
      </c>
      <c r="K223" t="n">
        <v>0</v>
      </c>
      <c r="L223" t="n">
        <v>0</v>
      </c>
      <c r="M223" t="n">
        <v>0</v>
      </c>
      <c r="N223">
        <f>SUM(J223:M223)</f>
        <v/>
      </c>
      <c r="O223" s="4">
        <f>SUM(J223:L223)/SUM(J223:M223)</f>
        <v/>
      </c>
      <c r="P223" s="5">
        <f>MAX(J223:L223)/SUM(J223:L223)</f>
        <v/>
      </c>
    </row>
    <row r="224">
      <c r="A224" t="inlineStr">
        <is>
          <t>Segundo año</t>
        </is>
      </c>
      <c r="B224" t="inlineStr">
        <is>
          <t>Tercer periodo</t>
        </is>
      </c>
      <c r="C224" t="n">
        <v>19</v>
      </c>
      <c r="D224" t="n">
        <v>222</v>
      </c>
      <c r="E224" s="3" t="n">
        <v>46198</v>
      </c>
      <c r="F224" t="inlineStr">
        <is>
          <t>Punto de Acuerdo</t>
        </is>
      </c>
      <c r="G224" t="inlineStr">
        <is>
          <t>Acuerdo por el que se exhorta a la Secretaría de Deporte y Juventud del estado, para que, de manera coordinada con la Secretaría de Educación Pública y los doscientos doce ayuntamientos y cinco concejos municipales de la entidad, implementen campañas informativas y actividades deportivas en los planteles escolares de educación básica y media superior</t>
        </is>
      </c>
      <c r="H224" t="n">
        <v>8</v>
      </c>
      <c r="I224" t="inlineStr">
        <is>
          <t>Educación y Cultura</t>
        </is>
      </c>
      <c r="J224" t="n">
        <v>37</v>
      </c>
      <c r="K224" t="n">
        <v>0</v>
      </c>
      <c r="L224" t="n">
        <v>0</v>
      </c>
      <c r="M224" t="n">
        <v>0</v>
      </c>
      <c r="N224">
        <f>SUM(J224:M224)</f>
        <v/>
      </c>
      <c r="O224" s="4">
        <f>SUM(J224:L224)/SUM(J224:M224)</f>
        <v/>
      </c>
      <c r="P224" s="5">
        <f>MAX(J224:L224)/SUM(J224:L224)</f>
        <v/>
      </c>
    </row>
    <row r="225">
      <c r="A225" t="inlineStr">
        <is>
          <t>Segundo año</t>
        </is>
      </c>
      <c r="B225" t="inlineStr">
        <is>
          <t>Tercer periodo</t>
        </is>
      </c>
      <c r="C225" t="n">
        <v>20</v>
      </c>
      <c r="D225" t="n">
        <v>223</v>
      </c>
      <c r="E225" s="3" t="n">
        <v>46198</v>
      </c>
      <c r="F225" t="inlineStr">
        <is>
          <t>Punto de Acuerdo</t>
        </is>
      </c>
      <c r="G225" t="inlineStr">
        <is>
          <t>Acuerdo por el que se exhorta a la Secretaría de Infraestructura del estado, para que, en el ámbito de su competencia y en coordinación con los ayuntamientos de ixtacamaxtitlán, eloxochitlán y ajalpan, lleve a cabo la revisión integral y el diagnóstico técnico del camino que conecta a la cabecera municipal</t>
        </is>
      </c>
      <c r="H225" t="n">
        <v>11</v>
      </c>
      <c r="I225" t="inlineStr">
        <is>
          <t>Infraestructura, Movilidad y Transporte</t>
        </is>
      </c>
      <c r="J225" t="n">
        <v>37</v>
      </c>
      <c r="K225" t="n">
        <v>0</v>
      </c>
      <c r="L225" t="n">
        <v>0</v>
      </c>
      <c r="M225" t="n">
        <v>0</v>
      </c>
      <c r="N225">
        <f>SUM(J225:M225)</f>
        <v/>
      </c>
      <c r="O225" s="4">
        <f>SUM(J225:L225)/SUM(J225:M225)</f>
        <v/>
      </c>
      <c r="P225" s="5">
        <f>MAX(J225:L225)/SUM(J225:L225)</f>
        <v/>
      </c>
    </row>
    <row r="226">
      <c r="A226" t="inlineStr">
        <is>
          <t>Segundo año</t>
        </is>
      </c>
      <c r="B226" t="inlineStr">
        <is>
          <t>Tercer periodo</t>
        </is>
      </c>
      <c r="C226" t="n">
        <v>21</v>
      </c>
      <c r="D226" t="n">
        <v>224</v>
      </c>
      <c r="E226" s="3" t="n">
        <v>46198</v>
      </c>
      <c r="F226" t="inlineStr">
        <is>
          <t>Punto de Acuerdo</t>
        </is>
      </c>
      <c r="G226" t="inlineStr">
        <is>
          <t>Acuerdo por el que se exhorta al centro sict de la Secretaría de Infraestructura, Comunicaciones y Transportes federal, para que fortalezca las medidas de señalización preventiva, protección de obra y seguridad vial en los tramos en construcción de la carretera federal méxico 190</t>
        </is>
      </c>
      <c r="H226" t="n">
        <v>11</v>
      </c>
      <c r="I226" t="inlineStr">
        <is>
          <t>Infraestructura, Movilidad y Transporte</t>
        </is>
      </c>
      <c r="J226" t="n">
        <v>37</v>
      </c>
      <c r="K226" t="n">
        <v>0</v>
      </c>
      <c r="L226" t="n">
        <v>0</v>
      </c>
      <c r="M226" t="n">
        <v>0</v>
      </c>
      <c r="N226">
        <f>SUM(J226:M226)</f>
        <v/>
      </c>
      <c r="O226" s="4">
        <f>SUM(J226:L226)/SUM(J226:M226)</f>
        <v/>
      </c>
      <c r="P226" s="5">
        <f>MAX(J226:L226)/SUM(J226:L226)</f>
        <v/>
      </c>
    </row>
    <row r="227">
      <c r="A227" t="inlineStr">
        <is>
          <t>Segundo año</t>
        </is>
      </c>
      <c r="B227" t="inlineStr">
        <is>
          <t>Tercer periodo</t>
        </is>
      </c>
      <c r="C227" t="n">
        <v>22</v>
      </c>
      <c r="D227" t="n">
        <v>225</v>
      </c>
      <c r="E227" s="3" t="n">
        <v>46205</v>
      </c>
      <c r="F227" t="inlineStr">
        <is>
          <t>Punto de Acuerdo</t>
        </is>
      </c>
      <c r="G227" t="inlineStr">
        <is>
          <t>Acuerdo por el cual la comparecencia del titular de la coordinación de gabinete del gobierno del estado</t>
        </is>
      </c>
      <c r="H227" t="n">
        <v>18</v>
      </c>
      <c r="I227" t="inlineStr">
        <is>
          <t>Administración Pública</t>
        </is>
      </c>
      <c r="J227" t="n">
        <v>32</v>
      </c>
      <c r="K227" t="n">
        <v>0</v>
      </c>
      <c r="L227" t="n">
        <v>0</v>
      </c>
      <c r="M227" t="n">
        <v>0</v>
      </c>
      <c r="N227">
        <f>SUM(J227:M227)</f>
        <v/>
      </c>
      <c r="O227" s="4">
        <f>SUM(J227:L227)/SUM(J227:M227)</f>
        <v/>
      </c>
      <c r="P227" s="5">
        <f>MAX(J227:L227)/SUM(J227:L227)</f>
        <v/>
      </c>
    </row>
    <row r="228">
      <c r="A228" t="inlineStr">
        <is>
          <t>Segundo año</t>
        </is>
      </c>
      <c r="B228" t="inlineStr">
        <is>
          <t>Tercer periodo</t>
        </is>
      </c>
      <c r="C228" t="n">
        <v>23</v>
      </c>
      <c r="D228" t="n">
        <v>226</v>
      </c>
      <c r="E228" s="3" t="n">
        <v>46205</v>
      </c>
      <c r="F228" t="inlineStr">
        <is>
          <t>Iniciativa</t>
        </is>
      </c>
      <c r="G228" t="inlineStr">
        <is>
          <t>Dictamen con minuta de decreto por el cual se reforman las fracciones II y III del artículo 116; y se adiciona la fracción IV al artículo 116 de la ley de los trabajadores al servicio del estado</t>
        </is>
      </c>
      <c r="H228" t="n">
        <v>16</v>
      </c>
      <c r="I228" t="inlineStr">
        <is>
          <t>Trabajo y Previsión Social</t>
        </is>
      </c>
      <c r="J228" t="n">
        <v>32</v>
      </c>
      <c r="K228" t="n">
        <v>0</v>
      </c>
      <c r="L228" t="n">
        <v>0</v>
      </c>
      <c r="M228" t="n">
        <v>0</v>
      </c>
      <c r="N228">
        <f>SUM(J228:M228)</f>
        <v/>
      </c>
      <c r="O228" s="4">
        <f>SUM(J228:L228)/SUM(J228:M228)</f>
        <v/>
      </c>
      <c r="P228" s="5">
        <f>MAX(J228:L228)/SUM(J228:L228)</f>
        <v/>
      </c>
    </row>
    <row r="229">
      <c r="A229" t="inlineStr">
        <is>
          <t>Segundo año</t>
        </is>
      </c>
      <c r="B229" t="inlineStr">
        <is>
          <t>Tercer periodo</t>
        </is>
      </c>
      <c r="C229" t="n">
        <v>24</v>
      </c>
      <c r="D229" t="n">
        <v>227</v>
      </c>
      <c r="E229" s="3" t="n">
        <v>46205</v>
      </c>
      <c r="F229" t="inlineStr">
        <is>
          <t>Iniciativa</t>
        </is>
      </c>
      <c r="G229" t="inlineStr">
        <is>
          <t>Dictamen con minuta de decreto por el cual se reforman las fracciones V y VI del artículo 37; y se adicionan las fracciones VII y VIII al artículo 37, todas de la ley orgánica municipal</t>
        </is>
      </c>
      <c r="H229" t="n">
        <v>18</v>
      </c>
      <c r="I229" t="inlineStr">
        <is>
          <t>Administración Pública</t>
        </is>
      </c>
      <c r="J229" t="n">
        <v>34</v>
      </c>
      <c r="K229" t="n">
        <v>0</v>
      </c>
      <c r="L229" t="n">
        <v>0</v>
      </c>
      <c r="M229" t="n">
        <v>0</v>
      </c>
      <c r="N229">
        <f>SUM(J229:M229)</f>
        <v/>
      </c>
      <c r="O229" s="4">
        <f>SUM(J229:L229)/SUM(J229:M229)</f>
        <v/>
      </c>
      <c r="P229" s="5">
        <f>MAX(J229:L229)/SUM(J229:L229)</f>
        <v/>
      </c>
    </row>
    <row r="230">
      <c r="A230" t="inlineStr">
        <is>
          <t>Segundo año</t>
        </is>
      </c>
      <c r="B230" t="inlineStr">
        <is>
          <t>Tercer periodo</t>
        </is>
      </c>
      <c r="C230" t="n">
        <v>25</v>
      </c>
      <c r="D230" t="n">
        <v>228</v>
      </c>
      <c r="E230" s="3" t="n">
        <v>46205</v>
      </c>
      <c r="F230" t="inlineStr">
        <is>
          <t>Iniciativa</t>
        </is>
      </c>
      <c r="G230" t="inlineStr">
        <is>
          <t>Dictamen con minuta de decreto por el cual se reforman el párrafo primero del artículo 21; los artículos 22, 24, 25, 26, 27, 29, 33, 34, 35, 49, el acápite y la fracción I del 56 y el 229, todos de la ley orgánica municipal</t>
        </is>
      </c>
      <c r="H230" t="n">
        <v>18</v>
      </c>
      <c r="I230" t="inlineStr">
        <is>
          <t>Administración Pública</t>
        </is>
      </c>
      <c r="J230" t="n">
        <v>31</v>
      </c>
      <c r="K230" t="n">
        <v>0</v>
      </c>
      <c r="L230" t="n">
        <v>4</v>
      </c>
      <c r="M230" t="n">
        <v>0</v>
      </c>
      <c r="N230">
        <f>SUM(J230:M230)</f>
        <v/>
      </c>
      <c r="O230" s="4">
        <f>SUM(J230:L230)/SUM(J230:M230)</f>
        <v/>
      </c>
      <c r="P230" s="5">
        <f>MAX(J230:L230)/SUM(J230:L230)</f>
        <v/>
      </c>
    </row>
    <row r="231">
      <c r="A231" t="inlineStr">
        <is>
          <t>Segundo año</t>
        </is>
      </c>
      <c r="B231" t="inlineStr">
        <is>
          <t>Tercer periodo</t>
        </is>
      </c>
      <c r="C231" t="n">
        <v>26</v>
      </c>
      <c r="D231" t="n">
        <v>229</v>
      </c>
      <c r="E231" s="3" t="n">
        <v>46205</v>
      </c>
      <c r="F231" t="inlineStr">
        <is>
          <t>Iniciativa</t>
        </is>
      </c>
      <c r="G231" t="inlineStr">
        <is>
          <t>Dictamen con minuta de decreto por el cual se reforman el primer párrafo del artículo 608 y la fracción I del artículo 697; ambos del código civil para el estado libre y soberano de</t>
        </is>
      </c>
      <c r="H231" t="n">
        <v>14</v>
      </c>
      <c r="I231" t="inlineStr">
        <is>
          <t>Justicia y Estado de Derecho</t>
        </is>
      </c>
      <c r="J231" t="n">
        <v>36</v>
      </c>
      <c r="K231" t="n">
        <v>0</v>
      </c>
      <c r="L231" t="n">
        <v>0</v>
      </c>
      <c r="M231" t="n">
        <v>0</v>
      </c>
      <c r="N231">
        <f>SUM(J231:M231)</f>
        <v/>
      </c>
      <c r="O231" s="4">
        <f>SUM(J231:L231)/SUM(J231:M231)</f>
        <v/>
      </c>
      <c r="P231" s="5">
        <f>MAX(J231:L231)/SUM(J231:L231)</f>
        <v/>
      </c>
    </row>
    <row r="232">
      <c r="A232" t="inlineStr">
        <is>
          <t>Segundo año</t>
        </is>
      </c>
      <c r="B232" t="inlineStr">
        <is>
          <t>Tercer periodo</t>
        </is>
      </c>
      <c r="C232" t="n">
        <v>27</v>
      </c>
      <c r="D232" t="n">
        <v>230</v>
      </c>
      <c r="E232" s="3" t="n">
        <v>46205</v>
      </c>
      <c r="F232" t="inlineStr">
        <is>
          <t>Iniciativa</t>
        </is>
      </c>
      <c r="G232" t="inlineStr">
        <is>
          <t>Dictamen con minuta de decreto por el cual se reforma el artículo 266 y se adiciona el artículo 271 bis; ambos del código penal del estado libre y soberano de</t>
        </is>
      </c>
      <c r="H232" t="n">
        <v>14</v>
      </c>
      <c r="I232" t="inlineStr">
        <is>
          <t>Justicia y Estado de Derecho</t>
        </is>
      </c>
      <c r="J232" t="n">
        <v>36</v>
      </c>
      <c r="K232" t="n">
        <v>0</v>
      </c>
      <c r="L232" t="n">
        <v>0</v>
      </c>
      <c r="M232" t="n">
        <v>0</v>
      </c>
      <c r="N232">
        <f>SUM(J232:M232)</f>
        <v/>
      </c>
      <c r="O232" s="4">
        <f>SUM(J232:L232)/SUM(J232:M232)</f>
        <v/>
      </c>
      <c r="P232" s="5">
        <f>MAX(J232:L232)/SUM(J232:L232)</f>
        <v/>
      </c>
    </row>
    <row r="233">
      <c r="A233" t="inlineStr">
        <is>
          <t>Segundo año</t>
        </is>
      </c>
      <c r="B233" t="inlineStr">
        <is>
          <t>Tercer periodo</t>
        </is>
      </c>
      <c r="C233" t="n">
        <v>28</v>
      </c>
      <c r="D233" t="n">
        <v>231</v>
      </c>
      <c r="E233" s="3" t="n">
        <v>46205</v>
      </c>
      <c r="F233" t="inlineStr">
        <is>
          <t>Iniciativa</t>
        </is>
      </c>
      <c r="G233" t="inlineStr">
        <is>
          <t>Dictamen con minuta de decreto por el cual se reforman y adicionan diversas disposiciones de la ley estatal de salud</t>
        </is>
      </c>
      <c r="H233" t="n">
        <v>6</v>
      </c>
      <c r="I233" t="inlineStr">
        <is>
          <t>Salud</t>
        </is>
      </c>
      <c r="J233" t="n">
        <v>36</v>
      </c>
      <c r="K233" t="n">
        <v>0</v>
      </c>
      <c r="L233" t="n">
        <v>0</v>
      </c>
      <c r="M233" t="n">
        <v>0</v>
      </c>
      <c r="N233">
        <f>SUM(J233:M233)</f>
        <v/>
      </c>
      <c r="O233" s="4">
        <f>SUM(J233:L233)/SUM(J233:M233)</f>
        <v/>
      </c>
      <c r="P233" s="5">
        <f>MAX(J233:L233)/SUM(J233:L233)</f>
        <v/>
      </c>
    </row>
    <row r="234">
      <c r="A234" t="inlineStr">
        <is>
          <t>Segundo año</t>
        </is>
      </c>
      <c r="B234" t="inlineStr">
        <is>
          <t>Tercer periodo</t>
        </is>
      </c>
      <c r="C234" t="n">
        <v>29</v>
      </c>
      <c r="D234" t="n">
        <v>232</v>
      </c>
      <c r="E234" s="3" t="n">
        <v>46205</v>
      </c>
      <c r="F234" t="inlineStr">
        <is>
          <t>Iniciativa</t>
        </is>
      </c>
      <c r="G234" t="inlineStr">
        <is>
          <t>Dictamen con minuta de decreto por el cual se reforman la denominación, así como diversas disposiciones de la ley de protección a los no fumadores para el estado de</t>
        </is>
      </c>
      <c r="H234" t="n">
        <v>6</v>
      </c>
      <c r="I234" t="inlineStr">
        <is>
          <t>Salud</t>
        </is>
      </c>
      <c r="J234" t="n">
        <v>36</v>
      </c>
      <c r="K234" t="n">
        <v>0</v>
      </c>
      <c r="L234" t="n">
        <v>0</v>
      </c>
      <c r="M234" t="n">
        <v>0</v>
      </c>
      <c r="N234">
        <f>SUM(J234:M234)</f>
        <v/>
      </c>
      <c r="O234" s="4">
        <f>SUM(J234:L234)/SUM(J234:M234)</f>
        <v/>
      </c>
      <c r="P234" s="5">
        <f>MAX(J234:L234)/SUM(J234:L234)</f>
        <v/>
      </c>
    </row>
    <row r="235">
      <c r="A235" t="inlineStr">
        <is>
          <t>Segundo año</t>
        </is>
      </c>
      <c r="B235" t="inlineStr">
        <is>
          <t>Tercer periodo</t>
        </is>
      </c>
      <c r="C235" t="n">
        <v>30</v>
      </c>
      <c r="D235" t="n">
        <v>233</v>
      </c>
      <c r="E235" s="3" t="n">
        <v>46205</v>
      </c>
      <c r="F235" t="inlineStr">
        <is>
          <t>Punto de Acuerdo</t>
        </is>
      </c>
      <c r="G235" t="inlineStr">
        <is>
          <t>Acuerdo por el que se exhorta a la secretaría de desarrollo económico y trabajo del estado</t>
        </is>
      </c>
      <c r="H235" t="n">
        <v>1</v>
      </c>
      <c r="I235" t="inlineStr">
        <is>
          <t>Economía, Comercio y Competitividad</t>
        </is>
      </c>
      <c r="J235" t="n">
        <v>36</v>
      </c>
      <c r="K235" t="n">
        <v>0</v>
      </c>
      <c r="L235" t="n">
        <v>0</v>
      </c>
      <c r="M235" t="n">
        <v>0</v>
      </c>
      <c r="N235">
        <f>SUM(J235:M235)</f>
        <v/>
      </c>
      <c r="O235" s="4">
        <f>SUM(J235:L235)/SUM(J235:M235)</f>
        <v/>
      </c>
      <c r="P235" s="5">
        <f>MAX(J235:L235)/SUM(J235:L235)</f>
        <v/>
      </c>
    </row>
    <row r="236">
      <c r="A236" t="inlineStr">
        <is>
          <t>Segundo año</t>
        </is>
      </c>
      <c r="B236" t="inlineStr">
        <is>
          <t>Tercer periodo</t>
        </is>
      </c>
      <c r="C236" t="n">
        <v>31</v>
      </c>
      <c r="D236" t="n">
        <v>234</v>
      </c>
      <c r="E236" s="3" t="n">
        <v>46205</v>
      </c>
      <c r="F236" t="inlineStr">
        <is>
          <t>Punto de Acuerdo</t>
        </is>
      </c>
      <c r="G236" t="inlineStr">
        <is>
          <t>Acuerdo por el que se exhorta a la secretaría de desarrollo económico y trabajo</t>
        </is>
      </c>
      <c r="H236" t="n">
        <v>1</v>
      </c>
      <c r="I236" t="inlineStr">
        <is>
          <t>Economía, Comercio y Competitividad</t>
        </is>
      </c>
      <c r="J236" t="n">
        <v>36</v>
      </c>
      <c r="K236" t="n">
        <v>0</v>
      </c>
      <c r="L236" t="n">
        <v>0</v>
      </c>
      <c r="M236" t="n">
        <v>0</v>
      </c>
      <c r="N236">
        <f>SUM(J236:M236)</f>
        <v/>
      </c>
      <c r="O236" s="4">
        <f>SUM(J236:L236)/SUM(J236:M236)</f>
        <v/>
      </c>
      <c r="P236" s="5">
        <f>MAX(J236:L236)/SUM(J236:L236)</f>
        <v/>
      </c>
    </row>
    <row r="237">
      <c r="A237" t="inlineStr">
        <is>
          <t>Segundo año</t>
        </is>
      </c>
      <c r="B237" t="inlineStr">
        <is>
          <t>Tercer periodo</t>
        </is>
      </c>
      <c r="C237" t="n">
        <v>32</v>
      </c>
      <c r="D237" t="n">
        <v>235</v>
      </c>
      <c r="E237" s="3" t="n">
        <v>46205</v>
      </c>
      <c r="F237" t="inlineStr">
        <is>
          <t>Punto de Acuerdo</t>
        </is>
      </c>
      <c r="G237" t="inlineStr">
        <is>
          <t>Acuerdo por el que se exhorta al instituto poblano de asistencia al migrante</t>
        </is>
      </c>
      <c r="H237" t="n">
        <v>9</v>
      </c>
      <c r="I237" t="inlineStr">
        <is>
          <t>Migración y fronteras</t>
        </is>
      </c>
      <c r="J237" t="n">
        <v>36</v>
      </c>
      <c r="K237" t="n">
        <v>0</v>
      </c>
      <c r="L237" t="n">
        <v>0</v>
      </c>
      <c r="M237" t="n">
        <v>0</v>
      </c>
      <c r="N237">
        <f>SUM(J237:M237)</f>
        <v/>
      </c>
      <c r="O237" s="4">
        <f>SUM(J237:L237)/SUM(J237:M237)</f>
        <v/>
      </c>
      <c r="P237" s="5">
        <f>MAX(J237:L237)/SUM(J237:L237)</f>
        <v/>
      </c>
    </row>
    <row r="238">
      <c r="A238" t="inlineStr">
        <is>
          <t>Segundo año</t>
        </is>
      </c>
      <c r="B238" t="inlineStr">
        <is>
          <t>Tercer periodo</t>
        </is>
      </c>
      <c r="C238" t="n">
        <v>33</v>
      </c>
      <c r="D238" t="n">
        <v>236</v>
      </c>
      <c r="E238" s="3" t="n">
        <v>46205</v>
      </c>
      <c r="F238" t="inlineStr">
        <is>
          <t>Punto de Acuerdo</t>
        </is>
      </c>
      <c r="G238" t="inlineStr">
        <is>
          <t>Acuerdo por el que se exhorta a la coordinación general de protección civil y gestión del riesgo de desastres del estado</t>
        </is>
      </c>
      <c r="H238" t="n">
        <v>3</v>
      </c>
      <c r="I238" t="inlineStr">
        <is>
          <t>Seguridad Pública, Protección Civil y Narcotráfico</t>
        </is>
      </c>
      <c r="J238" t="n">
        <v>36</v>
      </c>
      <c r="K238" t="n">
        <v>0</v>
      </c>
      <c r="L238" t="n">
        <v>0</v>
      </c>
      <c r="M238" t="n">
        <v>0</v>
      </c>
      <c r="N238">
        <f>SUM(J238:M238)</f>
        <v/>
      </c>
      <c r="O238" s="4">
        <f>SUM(J238:L238)/SUM(J238:M238)</f>
        <v/>
      </c>
      <c r="P238" s="5">
        <f>MAX(J238:L238)/SUM(J238:L238)</f>
        <v/>
      </c>
    </row>
    <row r="239">
      <c r="A239" t="inlineStr">
        <is>
          <t>Segundo año</t>
        </is>
      </c>
      <c r="B239" t="inlineStr">
        <is>
          <t>Tercer periodo</t>
        </is>
      </c>
      <c r="C239" t="n">
        <v>34</v>
      </c>
      <c r="D239" t="n">
        <v>237</v>
      </c>
      <c r="E239" s="3" t="n">
        <v>46205</v>
      </c>
      <c r="F239" t="inlineStr">
        <is>
          <t>Punto de Acuerdo</t>
        </is>
      </c>
      <c r="G239" t="inlineStr">
        <is>
          <t>Acuerdo por el que se exhorta a la secretaría de desarrollo turístico y a la secretaría de infraestructura, ambas del estado</t>
        </is>
      </c>
      <c r="H239" t="n">
        <v>11</v>
      </c>
      <c r="I239" t="inlineStr">
        <is>
          <t>Infraestructura, Movilidad y Transporte</t>
        </is>
      </c>
      <c r="J239" t="n">
        <v>36</v>
      </c>
      <c r="K239" t="n">
        <v>0</v>
      </c>
      <c r="L239" t="n">
        <v>0</v>
      </c>
      <c r="M239" t="n">
        <v>0</v>
      </c>
      <c r="N239">
        <f>SUM(J239:M239)</f>
        <v/>
      </c>
      <c r="O239" s="4">
        <f>SUM(J239:L239)/SUM(J239:M239)</f>
        <v/>
      </c>
      <c r="P239" s="5">
        <f>MAX(J239:L239)/SUM(J239:L239)</f>
        <v/>
      </c>
    </row>
    <row r="240">
      <c r="A240" t="inlineStr">
        <is>
          <t>Segundo año</t>
        </is>
      </c>
      <c r="B240" t="inlineStr">
        <is>
          <t>Tercer periodo</t>
        </is>
      </c>
      <c r="C240" t="n">
        <v>35</v>
      </c>
      <c r="D240" t="n">
        <v>238</v>
      </c>
      <c r="E240" s="3" t="n">
        <v>46205</v>
      </c>
      <c r="F240" t="inlineStr">
        <is>
          <t>Punto de Acuerdo</t>
        </is>
      </c>
      <c r="G240" t="inlineStr">
        <is>
          <t>Acuerdo por el que se exhorta al organismo público descentralizado del estado “convenciones y parques”</t>
        </is>
      </c>
      <c r="H240" t="n">
        <v>11</v>
      </c>
      <c r="I240" t="inlineStr">
        <is>
          <t>Infraestructura, Movilidad y Transporte</t>
        </is>
      </c>
      <c r="J240" t="n">
        <v>36</v>
      </c>
      <c r="K240" t="n">
        <v>0</v>
      </c>
      <c r="L240" t="n">
        <v>0</v>
      </c>
      <c r="M240" t="n">
        <v>0</v>
      </c>
      <c r="N240">
        <f>SUM(J240:M240)</f>
        <v/>
      </c>
      <c r="O240" s="4">
        <f>SUM(J240:L240)/SUM(J240:M240)</f>
        <v/>
      </c>
      <c r="P240" s="5">
        <f>MAX(J240:L240)/SUM(J240:L240)</f>
        <v/>
      </c>
    </row>
    <row r="241">
      <c r="A241" t="inlineStr">
        <is>
          <t>Segundo año</t>
        </is>
      </c>
      <c r="B241" t="inlineStr">
        <is>
          <t>Tercer periodo</t>
        </is>
      </c>
      <c r="C241" t="n">
        <v>36</v>
      </c>
      <c r="D241" t="n">
        <v>239</v>
      </c>
      <c r="E241" s="3" t="n">
        <v>46205</v>
      </c>
      <c r="F241" t="inlineStr">
        <is>
          <t>Punto de Acuerdo</t>
        </is>
      </c>
      <c r="G241" t="inlineStr">
        <is>
          <t>Acuerdo por el que se exhorta a los doscientos doce ayuntamientos y cinco concejos municipales del estado</t>
        </is>
      </c>
      <c r="H241" t="n">
        <v>18</v>
      </c>
      <c r="I241" t="inlineStr">
        <is>
          <t>Administración Pública</t>
        </is>
      </c>
      <c r="J241" t="n">
        <v>36</v>
      </c>
      <c r="K241" t="n">
        <v>0</v>
      </c>
      <c r="L241" t="n">
        <v>0</v>
      </c>
      <c r="M241" t="n">
        <v>0</v>
      </c>
      <c r="N241">
        <f>SUM(J241:M241)</f>
        <v/>
      </c>
      <c r="O241" s="4">
        <f>SUM(J241:L241)/SUM(J241:M241)</f>
        <v/>
      </c>
      <c r="P241" s="5">
        <f>MAX(J241:L241)/SUM(J241:L241)</f>
        <v/>
      </c>
    </row>
    <row r="242">
      <c r="A242" t="inlineStr">
        <is>
          <t>Segundo año</t>
        </is>
      </c>
      <c r="B242" t="inlineStr">
        <is>
          <t>Tercer periodo</t>
        </is>
      </c>
      <c r="C242" t="n">
        <v>37</v>
      </c>
      <c r="D242" t="n">
        <v>240</v>
      </c>
      <c r="E242" s="3" t="n">
        <v>46205</v>
      </c>
      <c r="F242" t="inlineStr">
        <is>
          <t>Punto de Acuerdo</t>
        </is>
      </c>
      <c r="G242" t="inlineStr">
        <is>
          <t>Acuerdo por el que se exhorta a la secretaría de medio ambiente, desarrollo sustentable y ordenamiento territorial del estado</t>
        </is>
      </c>
      <c r="H242" t="n">
        <v>5</v>
      </c>
      <c r="I242" t="inlineStr">
        <is>
          <t>Medio Ambiente</t>
        </is>
      </c>
      <c r="J242" t="n">
        <v>36</v>
      </c>
      <c r="K242" t="n">
        <v>0</v>
      </c>
      <c r="L242" t="n">
        <v>0</v>
      </c>
      <c r="M242" t="n">
        <v>0</v>
      </c>
      <c r="N242">
        <f>SUM(J242:M242)</f>
        <v/>
      </c>
      <c r="O242" s="4">
        <f>SUM(J242:L242)/SUM(J242:M242)</f>
        <v/>
      </c>
      <c r="P242" s="5">
        <f>MAX(J242:L242)/SUM(J242:L242)</f>
        <v/>
      </c>
    </row>
    <row r="243">
      <c r="A243" t="inlineStr">
        <is>
          <t>Segundo año</t>
        </is>
      </c>
      <c r="B243" t="inlineStr">
        <is>
          <t>Tercer periodo</t>
        </is>
      </c>
      <c r="C243" t="n">
        <v>38</v>
      </c>
      <c r="D243" t="n">
        <v>241</v>
      </c>
      <c r="E243" s="3" t="n">
        <v>46205</v>
      </c>
      <c r="F243" t="inlineStr">
        <is>
          <t>Punto de Acuerdo</t>
        </is>
      </c>
      <c r="G243" t="inlineStr">
        <is>
          <t>Acuerdo por el que se exhorta a la secretaría de medio ambiente, desarrollo sustentable y ordenamiento territorial, y a los doscientos doce ayuntamientos y cinco concejos municipales del estado</t>
        </is>
      </c>
      <c r="H243" t="n">
        <v>5</v>
      </c>
      <c r="I243" t="inlineStr">
        <is>
          <t>Medio Ambiente</t>
        </is>
      </c>
      <c r="J243" t="n">
        <v>36</v>
      </c>
      <c r="K243" t="n">
        <v>0</v>
      </c>
      <c r="L243" t="n">
        <v>0</v>
      </c>
      <c r="M243" t="n">
        <v>0</v>
      </c>
      <c r="N243">
        <f>SUM(J243:M243)</f>
        <v/>
      </c>
      <c r="O243" s="4">
        <f>SUM(J243:L243)/SUM(J243:M243)</f>
        <v/>
      </c>
      <c r="P243" s="5">
        <f>MAX(J243:L243)/SUM(J243:L243)</f>
        <v/>
      </c>
    </row>
    <row r="244">
      <c r="A244" t="inlineStr">
        <is>
          <t>Segundo año</t>
        </is>
      </c>
      <c r="B244" t="inlineStr">
        <is>
          <t>Tercer periodo</t>
        </is>
      </c>
      <c r="C244" t="n">
        <v>39</v>
      </c>
      <c r="D244" t="n">
        <v>242</v>
      </c>
      <c r="E244" s="3" t="n">
        <v>46205</v>
      </c>
      <c r="F244" t="inlineStr">
        <is>
          <t>Punto de Acuerdo</t>
        </is>
      </c>
      <c r="G244" t="inlineStr">
        <is>
          <t>Acuerdo por el que se exhorta a la secretaría de arte y cultura, y al organismo público descentralizado “museos”</t>
        </is>
      </c>
      <c r="H244" t="n">
        <v>8</v>
      </c>
      <c r="I244" t="inlineStr">
        <is>
          <t>Educación y Cultura</t>
        </is>
      </c>
      <c r="J244" t="n">
        <v>36</v>
      </c>
      <c r="K244" t="n">
        <v>0</v>
      </c>
      <c r="L244" t="n">
        <v>0</v>
      </c>
      <c r="M244" t="n">
        <v>0</v>
      </c>
      <c r="N244">
        <f>SUM(J244:M244)</f>
        <v/>
      </c>
      <c r="O244" s="4">
        <f>SUM(J244:L244)/SUM(J244:M244)</f>
        <v/>
      </c>
      <c r="P244" s="5">
        <f>MAX(J244:L244)/SUM(J244:L244)</f>
        <v/>
      </c>
    </row>
    <row r="245">
      <c r="A245" t="inlineStr">
        <is>
          <t>Segundo año</t>
        </is>
      </c>
      <c r="B245" t="inlineStr">
        <is>
          <t>Tercer periodo</t>
        </is>
      </c>
      <c r="C245" t="n">
        <v>40</v>
      </c>
      <c r="D245" t="n">
        <v>243</v>
      </c>
      <c r="E245" s="3" t="n">
        <v>46205</v>
      </c>
      <c r="F245" t="inlineStr">
        <is>
          <t>Punto de Acuerdo</t>
        </is>
      </c>
      <c r="G245" t="inlineStr">
        <is>
          <t>Acuerdo por el que se exhorta a la gerencia divisional de distribución centro oriente de la comisión federal de electricidad</t>
        </is>
      </c>
      <c r="H245" t="n">
        <v>1</v>
      </c>
      <c r="I245" t="inlineStr">
        <is>
          <t>Economía, Comercio y Competitividad</t>
        </is>
      </c>
      <c r="J245" t="n">
        <v>36</v>
      </c>
      <c r="K245" t="n">
        <v>0</v>
      </c>
      <c r="L245" t="n">
        <v>0</v>
      </c>
      <c r="M245" t="n">
        <v>0</v>
      </c>
      <c r="N245">
        <f>SUM(J245:M245)</f>
        <v/>
      </c>
      <c r="O245" s="4">
        <f>SUM(J245:L245)/SUM(J245:M245)</f>
        <v/>
      </c>
      <c r="P245" s="5">
        <f>MAX(J245:L245)/SUM(J245:L245)</f>
        <v/>
      </c>
    </row>
    <row r="246">
      <c r="A246" t="inlineStr">
        <is>
          <t>Segundo año</t>
        </is>
      </c>
      <c r="B246" t="inlineStr">
        <is>
          <t>Tercer periodo</t>
        </is>
      </c>
      <c r="C246" t="n">
        <v>41</v>
      </c>
      <c r="D246" t="n">
        <v>244</v>
      </c>
      <c r="E246" s="3" t="n">
        <v>46205</v>
      </c>
      <c r="F246" t="inlineStr">
        <is>
          <t>Punto de Acuerdo</t>
        </is>
      </c>
      <c r="G246" t="inlineStr">
        <is>
          <t>Acuerdo por el que se exhorta a los doscientos doce ayuntamientos y cinco concejos municipales del estado</t>
        </is>
      </c>
      <c r="H246" t="n">
        <v>1</v>
      </c>
      <c r="I246" t="inlineStr">
        <is>
          <t>Economía, Comercio y Competitividad</t>
        </is>
      </c>
      <c r="J246" t="n">
        <v>36</v>
      </c>
      <c r="K246" t="n">
        <v>0</v>
      </c>
      <c r="L246" t="n">
        <v>0</v>
      </c>
      <c r="M246" t="n">
        <v>0</v>
      </c>
      <c r="N246">
        <f>SUM(J246:M246)</f>
        <v/>
      </c>
      <c r="O246" s="4">
        <f>SUM(J246:L246)/SUM(J246:M246)</f>
        <v/>
      </c>
      <c r="P246" s="5">
        <f>MAX(J246:L246)/SUM(J246:L246)</f>
        <v/>
      </c>
    </row>
    <row r="247">
      <c r="A247" t="inlineStr">
        <is>
          <t>Segundo año</t>
        </is>
      </c>
      <c r="B247" t="inlineStr">
        <is>
          <t>Tercer periodo</t>
        </is>
      </c>
      <c r="C247" t="n">
        <v>42</v>
      </c>
      <c r="D247" t="n">
        <v>245</v>
      </c>
      <c r="E247" s="3" t="n">
        <v>46205</v>
      </c>
      <c r="F247" t="inlineStr">
        <is>
          <t>Punto de Acuerdo</t>
        </is>
      </c>
      <c r="G247" t="inlineStr">
        <is>
          <t>Acuerdo por el que se exhorta a la secretaría de salud del estado</t>
        </is>
      </c>
      <c r="H247" t="n">
        <v>6</v>
      </c>
      <c r="I247" t="inlineStr">
        <is>
          <t>Salud</t>
        </is>
      </c>
      <c r="J247" t="n">
        <v>36</v>
      </c>
      <c r="K247" t="n">
        <v>0</v>
      </c>
      <c r="L247" t="n">
        <v>0</v>
      </c>
      <c r="M247" t="n">
        <v>0</v>
      </c>
      <c r="N247">
        <f>SUM(J247:M247)</f>
        <v/>
      </c>
      <c r="O247" s="4">
        <f>SUM(J247:L247)/SUM(J247:M247)</f>
        <v/>
      </c>
      <c r="P247" s="5">
        <f>MAX(J247:L247)/SUM(J247:L247)</f>
        <v/>
      </c>
    </row>
    <row r="248">
      <c r="A248" t="inlineStr">
        <is>
          <t>Segundo año</t>
        </is>
      </c>
      <c r="B248" t="inlineStr">
        <is>
          <t>Tercer periodo</t>
        </is>
      </c>
      <c r="C248" t="n">
        <v>43</v>
      </c>
      <c r="D248" t="n">
        <v>246</v>
      </c>
      <c r="E248" s="3" t="n">
        <v>46212</v>
      </c>
      <c r="F248" t="inlineStr">
        <is>
          <t>Punto de Acuerdo</t>
        </is>
      </c>
      <c r="G248" t="inlineStr">
        <is>
          <t>Acuerdo por el cual se desecha la solicitud de retiro de dictamen con minuta de decreto que presenta la Comisión de Gobernación y Puntos Constitucionales</t>
        </is>
      </c>
      <c r="H248" t="n">
        <v>18</v>
      </c>
      <c r="I248" t="inlineStr">
        <is>
          <t>Administración Pública</t>
        </is>
      </c>
      <c r="J248" t="n">
        <v>0</v>
      </c>
      <c r="K248" t="n">
        <v>41</v>
      </c>
      <c r="L248" t="n">
        <v>0</v>
      </c>
      <c r="M248" t="n">
        <v>0</v>
      </c>
      <c r="N248">
        <f>SUM(J248:M248)</f>
        <v/>
      </c>
      <c r="O248" s="4">
        <f>SUM(J248:L248)/SUM(J248:M248)</f>
        <v/>
      </c>
      <c r="P248" s="5">
        <f>MAX(J248:L248)/SUM(J248:L248)</f>
        <v/>
      </c>
    </row>
    <row r="249">
      <c r="A249" t="inlineStr">
        <is>
          <t>Segundo año</t>
        </is>
      </c>
      <c r="B249" t="inlineStr">
        <is>
          <t>Tercer periodo</t>
        </is>
      </c>
      <c r="C249" t="n">
        <v>44</v>
      </c>
      <c r="D249" t="n">
        <v>247</v>
      </c>
      <c r="E249" s="3" t="n">
        <v>46212</v>
      </c>
      <c r="F249" t="inlineStr">
        <is>
          <t>Punto de Acuerdo</t>
        </is>
      </c>
      <c r="G249" t="inlineStr">
        <is>
          <t>Acuerdo por el cual se desecha la solicitud de retiro del dictamen con minuta de decreto y los acuerdos a votación del pleno</t>
        </is>
      </c>
      <c r="H249" t="n">
        <v>18</v>
      </c>
      <c r="I249" t="inlineStr">
        <is>
          <t>Administración Pública</t>
        </is>
      </c>
      <c r="J249" t="n">
        <v>0</v>
      </c>
      <c r="K249" t="n">
        <v>41</v>
      </c>
      <c r="L249" t="n">
        <v>0</v>
      </c>
      <c r="M249" t="n">
        <v>0</v>
      </c>
      <c r="N249">
        <f>SUM(J249:M249)</f>
        <v/>
      </c>
      <c r="O249" s="4">
        <f>SUM(J249:L249)/SUM(J249:M249)</f>
        <v/>
      </c>
      <c r="P249" s="5">
        <f>MAX(J249:L249)/SUM(J249:L249)</f>
        <v/>
      </c>
    </row>
    <row r="250">
      <c r="A250" t="inlineStr">
        <is>
          <t>Segundo año</t>
        </is>
      </c>
      <c r="B250" t="inlineStr">
        <is>
          <t>Tercer periodo</t>
        </is>
      </c>
      <c r="C250" t="n">
        <v>45</v>
      </c>
      <c r="D250" t="n">
        <v>248</v>
      </c>
      <c r="E250" s="3" t="n">
        <v>46212</v>
      </c>
      <c r="F250" t="inlineStr">
        <is>
          <t>Iniciativa</t>
        </is>
      </c>
      <c r="G250" t="inlineStr">
        <is>
          <t>Dictamen con minuta de decreto por el cual se reforma el resolutivo primero del acuerdo por el que se aprueba la comparecencia del titular de la coordinación de gabinete del gobierno del estado</t>
        </is>
      </c>
      <c r="H250" t="n">
        <v>11</v>
      </c>
      <c r="I250" t="inlineStr">
        <is>
          <t>Infraestructura, Movilidad y Transporte</t>
        </is>
      </c>
      <c r="J250" t="n">
        <v>39</v>
      </c>
      <c r="K250" t="n">
        <v>0</v>
      </c>
      <c r="L250" t="n">
        <v>0</v>
      </c>
      <c r="M250" t="n">
        <v>0</v>
      </c>
      <c r="N250">
        <f>SUM(J250:M250)</f>
        <v/>
      </c>
      <c r="O250" s="4">
        <f>SUM(J250:L250)/SUM(J250:M250)</f>
        <v/>
      </c>
      <c r="P250" s="5">
        <f>MAX(J250:L250)/SUM(J250:L250)</f>
        <v/>
      </c>
    </row>
    <row r="251">
      <c r="A251" t="inlineStr">
        <is>
          <t>Segundo año</t>
        </is>
      </c>
      <c r="B251" t="inlineStr">
        <is>
          <t>Tercer periodo</t>
        </is>
      </c>
      <c r="C251" t="n">
        <v>46</v>
      </c>
      <c r="D251" t="n">
        <v>249</v>
      </c>
      <c r="E251" s="3" t="n">
        <v>46212</v>
      </c>
      <c r="F251" t="inlineStr">
        <is>
          <t>Iniciativa</t>
        </is>
      </c>
      <c r="G251" t="inlineStr">
        <is>
          <t>Dictamen con minuta de decreto por el cual se declara: “2026, año de Gilberto Bosques Saldívar. La humanidad al servicio de la justicia y la libertad”</t>
        </is>
      </c>
      <c r="H251" t="n">
        <v>8</v>
      </c>
      <c r="I251" t="inlineStr">
        <is>
          <t>Educación y Cultura</t>
        </is>
      </c>
      <c r="J251" t="n">
        <v>39</v>
      </c>
      <c r="K251" t="n">
        <v>0</v>
      </c>
      <c r="L251" t="n">
        <v>0</v>
      </c>
      <c r="M251" t="n">
        <v>0</v>
      </c>
      <c r="N251">
        <f>SUM(J251:M251)</f>
        <v/>
      </c>
      <c r="O251" s="4">
        <f>SUM(J251:L251)/SUM(J251:M251)</f>
        <v/>
      </c>
      <c r="P251" s="5">
        <f>MAX(J251:L251)/SUM(J251:L251)</f>
        <v/>
      </c>
    </row>
    <row r="252">
      <c r="A252" t="inlineStr">
        <is>
          <t>Segundo año</t>
        </is>
      </c>
      <c r="B252" t="inlineStr">
        <is>
          <t>Tercer periodo</t>
        </is>
      </c>
      <c r="C252" t="n">
        <v>47</v>
      </c>
      <c r="D252" t="n">
        <v>250</v>
      </c>
      <c r="E252" s="3" t="n">
        <v>46212</v>
      </c>
      <c r="F252" t="inlineStr">
        <is>
          <t>Iniciativa</t>
        </is>
      </c>
      <c r="G252" t="inlineStr">
        <is>
          <t>Dictamen con minuta de decreto por el cual se reforman los artículos 1, el 3, el tercer párrafo del 10 y el 11; todos de la ley de estímulos cívicos</t>
        </is>
      </c>
      <c r="H252" t="n">
        <v>18</v>
      </c>
      <c r="I252" t="inlineStr">
        <is>
          <t>Administración Pública</t>
        </is>
      </c>
      <c r="J252" t="n">
        <v>39</v>
      </c>
      <c r="K252" t="n">
        <v>0</v>
      </c>
      <c r="L252" t="n">
        <v>0</v>
      </c>
      <c r="M252" t="n">
        <v>0</v>
      </c>
      <c r="N252">
        <f>SUM(J252:M252)</f>
        <v/>
      </c>
      <c r="O252" s="4">
        <f>SUM(J252:L252)/SUM(J252:M252)</f>
        <v/>
      </c>
      <c r="P252" s="5">
        <f>MAX(J252:L252)/SUM(J252:L252)</f>
        <v/>
      </c>
    </row>
    <row r="253">
      <c r="A253" t="inlineStr">
        <is>
          <t>Segundo año</t>
        </is>
      </c>
      <c r="B253" t="inlineStr">
        <is>
          <t>Tercer periodo</t>
        </is>
      </c>
      <c r="C253" t="n">
        <v>48</v>
      </c>
      <c r="D253" t="n">
        <v>251</v>
      </c>
      <c r="E253" s="3" t="n">
        <v>46212</v>
      </c>
      <c r="F253" t="inlineStr">
        <is>
          <t>Iniciativa</t>
        </is>
      </c>
      <c r="G253" t="inlineStr">
        <is>
          <t>Dictamen con minuta de decreto por el cual se reforman las fracciones ii y iii del artículo 54; y se adiciona la fracción iv al artículo 54; todos de la ley de la juventud para el estado</t>
        </is>
      </c>
      <c r="H253" t="n">
        <v>2</v>
      </c>
      <c r="I253" t="inlineStr">
        <is>
          <t>Pobreza y Política Social</t>
        </is>
      </c>
      <c r="J253" t="n">
        <v>39</v>
      </c>
      <c r="K253" t="n">
        <v>0</v>
      </c>
      <c r="L253" t="n">
        <v>0</v>
      </c>
      <c r="M253" t="n">
        <v>0</v>
      </c>
      <c r="N253">
        <f>SUM(J253:M253)</f>
        <v/>
      </c>
      <c r="O253" s="4">
        <f>SUM(J253:L253)/SUM(J253:M253)</f>
        <v/>
      </c>
      <c r="P253" s="5">
        <f>MAX(J253:L253)/SUM(J253:L253)</f>
        <v/>
      </c>
    </row>
    <row r="254">
      <c r="A254" t="inlineStr">
        <is>
          <t>Segundo año</t>
        </is>
      </c>
      <c r="B254" t="inlineStr">
        <is>
          <t>Tercer periodo</t>
        </is>
      </c>
      <c r="C254" t="n">
        <v>49</v>
      </c>
      <c r="D254" t="n">
        <v>252</v>
      </c>
      <c r="E254" s="3" t="n">
        <v>46212</v>
      </c>
      <c r="F254" t="inlineStr">
        <is>
          <t>Iniciativa</t>
        </is>
      </c>
      <c r="G254" t="inlineStr">
        <is>
          <t>Dictamen con minuta de decreto por el cual se reforman el artículo 3 y el 30 ter de la ley estatal del deporte</t>
        </is>
      </c>
      <c r="H254" t="n">
        <v>8</v>
      </c>
      <c r="I254" t="inlineStr">
        <is>
          <t>Educación y Cultura</t>
        </is>
      </c>
      <c r="J254" t="n">
        <v>39</v>
      </c>
      <c r="K254" t="n">
        <v>0</v>
      </c>
      <c r="L254" t="n">
        <v>0</v>
      </c>
      <c r="M254" t="n">
        <v>0</v>
      </c>
      <c r="N254">
        <f>SUM(J254:M254)</f>
        <v/>
      </c>
      <c r="O254" s="4">
        <f>SUM(J254:L254)/SUM(J254:M254)</f>
        <v/>
      </c>
      <c r="P254" s="5">
        <f>MAX(J254:L254)/SUM(J254:L254)</f>
        <v/>
      </c>
    </row>
    <row r="255">
      <c r="A255" t="inlineStr">
        <is>
          <t>Segundo año</t>
        </is>
      </c>
      <c r="B255" t="inlineStr">
        <is>
          <t>Tercer periodo</t>
        </is>
      </c>
      <c r="C255" t="n">
        <v>50</v>
      </c>
      <c r="D255" t="n">
        <v>253</v>
      </c>
      <c r="E255" s="3" t="n">
        <v>46212</v>
      </c>
      <c r="F255" t="inlineStr">
        <is>
          <t>Iniciativa</t>
        </is>
      </c>
      <c r="G255" t="inlineStr">
        <is>
          <t>Dictamen con minuta de decreto por el cual se reforman las fracciones v y vi del artículo 10, las fracciones xi, xii y xiii del 21, y se adicionan la fracción vii al artículo 10, y la fracción xiv al 21; todos de la ley estatal del deporte</t>
        </is>
      </c>
      <c r="H255" t="n">
        <v>8</v>
      </c>
      <c r="I255" t="inlineStr">
        <is>
          <t>Educación y Cultura</t>
        </is>
      </c>
      <c r="J255" t="n">
        <v>39</v>
      </c>
      <c r="K255" t="n">
        <v>0</v>
      </c>
      <c r="L255" t="n">
        <v>0</v>
      </c>
      <c r="M255" t="n">
        <v>0</v>
      </c>
      <c r="N255">
        <f>SUM(J255:M255)</f>
        <v/>
      </c>
      <c r="O255" s="4">
        <f>SUM(J255:L255)/SUM(J255:M255)</f>
        <v/>
      </c>
      <c r="P255" s="5">
        <f>MAX(J255:L255)/SUM(J255:L255)</f>
        <v/>
      </c>
    </row>
    <row r="256">
      <c r="A256" t="inlineStr">
        <is>
          <t>Segundo año</t>
        </is>
      </c>
      <c r="B256" t="inlineStr">
        <is>
          <t>Tercer periodo</t>
        </is>
      </c>
      <c r="C256" t="n">
        <v>51</v>
      </c>
      <c r="D256" t="n">
        <v>254</v>
      </c>
      <c r="E256" s="3" t="n">
        <v>46212</v>
      </c>
      <c r="F256" t="inlineStr">
        <is>
          <t>Iniciativa</t>
        </is>
      </c>
      <c r="G256" t="inlineStr">
        <is>
          <t>Dictamen con minuta de decreto por el cual se reforman, adicionan y derogan diversas disposiciones de la constitución política del estado libre y soberano; y se reforman diversas disposiciones transitorias</t>
        </is>
      </c>
      <c r="H256" t="n">
        <v>18</v>
      </c>
      <c r="I256" t="inlineStr">
        <is>
          <t>Administración Pública</t>
        </is>
      </c>
      <c r="J256" t="n">
        <v>33</v>
      </c>
      <c r="K256" t="n">
        <v>6</v>
      </c>
      <c r="L256" t="n">
        <v>1</v>
      </c>
      <c r="M256" t="n">
        <v>0</v>
      </c>
      <c r="N256">
        <f>SUM(J256:M256)</f>
        <v/>
      </c>
      <c r="O256" s="4">
        <f>SUM(J256:L256)/SUM(J256:M256)</f>
        <v/>
      </c>
      <c r="P256" s="5">
        <f>MAX(J256:L256)/SUM(J256:L256)</f>
        <v/>
      </c>
    </row>
    <row r="257">
      <c r="A257" t="inlineStr">
        <is>
          <t>Segundo año</t>
        </is>
      </c>
      <c r="B257" t="inlineStr">
        <is>
          <t>Tercer periodo</t>
        </is>
      </c>
      <c r="C257" t="n">
        <v>52</v>
      </c>
      <c r="D257" t="n">
        <v>255</v>
      </c>
      <c r="E257" s="3" t="n">
        <v>46212</v>
      </c>
      <c r="F257" t="inlineStr">
        <is>
          <t>Punto de Acuerdo</t>
        </is>
      </c>
      <c r="G257" t="inlineStr">
        <is>
          <t>Acuerdo por el que se exhorta al ayuntamiento de huitziltepec, para que, durante el año 2026, con motivo de la conmemoración de los 100 años de la repartición agraria</t>
        </is>
      </c>
      <c r="H257" t="n">
        <v>8</v>
      </c>
      <c r="I257" t="inlineStr">
        <is>
          <t>Educación y Cultura</t>
        </is>
      </c>
      <c r="J257" t="n">
        <v>40</v>
      </c>
      <c r="K257" t="n">
        <v>0</v>
      </c>
      <c r="L257" t="n">
        <v>0</v>
      </c>
      <c r="M257" t="n">
        <v>0</v>
      </c>
      <c r="N257">
        <f>SUM(J257:M257)</f>
        <v/>
      </c>
      <c r="O257" s="4">
        <f>SUM(J257:L257)/SUM(J257:M257)</f>
        <v/>
      </c>
      <c r="P257" s="5">
        <f>MAX(J257:L257)/SUM(J257:L257)</f>
        <v/>
      </c>
    </row>
    <row r="258">
      <c r="A258" t="inlineStr">
        <is>
          <t>Segundo año</t>
        </is>
      </c>
      <c r="B258" t="inlineStr">
        <is>
          <t>Tercer periodo</t>
        </is>
      </c>
      <c r="C258" t="n">
        <v>53</v>
      </c>
      <c r="D258" t="n">
        <v>256</v>
      </c>
      <c r="E258" s="3" t="n">
        <v>46212</v>
      </c>
      <c r="F258" t="inlineStr">
        <is>
          <t>Punto de Acuerdo</t>
        </is>
      </c>
      <c r="G258" t="inlineStr">
        <is>
          <t>Acuerdo por el que se exhorta a la secretaría de arte y cultura del estado, para que, de manera coordinada con el ayuntamiento de xicotepec, implemente una estrategia integral de difusión</t>
        </is>
      </c>
      <c r="H258" t="n">
        <v>8</v>
      </c>
      <c r="I258" t="inlineStr">
        <is>
          <t>Educación y Cultura</t>
        </is>
      </c>
      <c r="J258" t="n">
        <v>40</v>
      </c>
      <c r="K258" t="n">
        <v>0</v>
      </c>
      <c r="L258" t="n">
        <v>0</v>
      </c>
      <c r="M258" t="n">
        <v>0</v>
      </c>
      <c r="N258">
        <f>SUM(J258:M258)</f>
        <v/>
      </c>
      <c r="O258" s="4">
        <f>SUM(J258:L258)/SUM(J258:M258)</f>
        <v/>
      </c>
      <c r="P258" s="5">
        <f>MAX(J258:L258)/SUM(J258:L258)</f>
        <v/>
      </c>
    </row>
    <row r="259">
      <c r="A259" t="inlineStr">
        <is>
          <t>Segundo año</t>
        </is>
      </c>
      <c r="B259" t="inlineStr">
        <is>
          <t>Tercer periodo</t>
        </is>
      </c>
      <c r="C259" t="n">
        <v>54</v>
      </c>
      <c r="D259" t="n">
        <v>257</v>
      </c>
      <c r="E259" s="3" t="n">
        <v>46219</v>
      </c>
      <c r="F259" t="inlineStr">
        <is>
          <t>Punto de Acuerdo</t>
        </is>
      </c>
      <c r="G259" t="inlineStr">
        <is>
          <t>Acuerdo por el cual llevar a cabo las sesiones en el salón de plenos de este recinto legislativo</t>
        </is>
      </c>
      <c r="H259" t="n">
        <v>19</v>
      </c>
      <c r="I259" t="inlineStr">
        <is>
          <t>Internos del Congreso</t>
        </is>
      </c>
      <c r="J259" t="n">
        <v>7</v>
      </c>
      <c r="K259" t="n">
        <v>0</v>
      </c>
      <c r="L259" t="n">
        <v>0</v>
      </c>
      <c r="M259" t="n">
        <v>0</v>
      </c>
      <c r="N259">
        <f>SUM(J259:M259)</f>
        <v/>
      </c>
      <c r="O259" s="4">
        <f>SUM(J259:L259)/SUM(J259:M259)</f>
        <v/>
      </c>
      <c r="P259" s="5">
        <f>MAX(J259:L259)/SUM(J259:L259)</f>
        <v/>
      </c>
    </row>
    <row r="260">
      <c r="A260" t="inlineStr">
        <is>
          <t>Segundo año</t>
        </is>
      </c>
      <c r="B260" t="inlineStr">
        <is>
          <t>Tercer periodo</t>
        </is>
      </c>
      <c r="C260" t="n">
        <v>55</v>
      </c>
      <c r="D260" t="n">
        <v>258</v>
      </c>
      <c r="E260" s="3" t="n">
        <v>46224</v>
      </c>
      <c r="F260" t="inlineStr">
        <is>
          <t>Punto de Acuerdo</t>
        </is>
      </c>
      <c r="G260" t="inlineStr">
        <is>
          <t>Acuerdo por el cual exhorta a la secretaría de agricultura y desarrollo rural del estado, para que, en coordinación con los doscientos doce ayuntamientos y cinco concejos municipales de la entidad, en el ámbito de su competencia, fortalezcan las acciones de prevención de la plaga del gusano cogollero</t>
        </is>
      </c>
      <c r="H260" t="n">
        <v>12</v>
      </c>
      <c r="I260" t="inlineStr">
        <is>
          <t>Agricultura, Ganadería y Pesca</t>
        </is>
      </c>
      <c r="J260" t="n">
        <v>8</v>
      </c>
      <c r="K260" t="n">
        <v>0</v>
      </c>
      <c r="L260" t="n">
        <v>0</v>
      </c>
      <c r="M260" t="n">
        <v>33</v>
      </c>
      <c r="N260">
        <f>SUM(J260:M260)</f>
        <v/>
      </c>
      <c r="O260" s="4">
        <f>SUM(J260:L260)/SUM(J260:M260)</f>
        <v/>
      </c>
      <c r="P260" s="5">
        <f>MAX(J260:L260)/SUM(J260:L260)</f>
        <v/>
      </c>
    </row>
    <row r="261">
      <c r="A261" t="inlineStr">
        <is>
          <t>Segundo año</t>
        </is>
      </c>
      <c r="B261" t="inlineStr">
        <is>
          <t>Tercer periodo</t>
        </is>
      </c>
      <c r="C261" t="n">
        <v>56</v>
      </c>
      <c r="D261" t="n">
        <v>259</v>
      </c>
      <c r="E261" s="3" t="n">
        <v>46224</v>
      </c>
      <c r="F261" t="inlineStr">
        <is>
          <t>Punto de Acuerdo</t>
        </is>
      </c>
      <c r="G261" t="inlineStr">
        <is>
          <t>Acuerdo por el cual exhorta a la secretaría de desarrollo turístico del estado, para que, en coordinación con los doscientos doce ayuntamientos y cinco concejos municipales de la entidad, en el ámbito de sus competencias, implementen campañas permanentes de promoción, fortalecimiento y difusión de los platillos típicos y la gastronomía tradicional propia y representativa de cada uno de los municipios de la entidad poblana</t>
        </is>
      </c>
      <c r="H261" t="n">
        <v>1</v>
      </c>
      <c r="I261" t="inlineStr">
        <is>
          <t>Economía, Comercio y Competitividad</t>
        </is>
      </c>
      <c r="J261" t="n">
        <v>9</v>
      </c>
      <c r="K261" t="n">
        <v>0</v>
      </c>
      <c r="L261" t="n">
        <v>0</v>
      </c>
      <c r="M261" t="n">
        <v>0</v>
      </c>
      <c r="N261">
        <f>SUM(J261:M261)</f>
        <v/>
      </c>
      <c r="O261" s="4">
        <f>SUM(J261:L261)/SUM(J261:M261)</f>
        <v/>
      </c>
      <c r="P261" s="5">
        <f>MAX(J261:L261)/SUM(J261:L261)</f>
        <v/>
      </c>
    </row>
    <row r="262">
      <c r="A262" t="inlineStr">
        <is>
          <t>Segundo año</t>
        </is>
      </c>
      <c r="B262" t="inlineStr">
        <is>
          <t>Tercer periodo</t>
        </is>
      </c>
      <c r="C262" t="n">
        <v>57</v>
      </c>
      <c r="D262" t="n">
        <v>260</v>
      </c>
      <c r="E262" s="3" t="n">
        <v>46225</v>
      </c>
      <c r="F262" t="inlineStr">
        <is>
          <t>Punto de Acuerdo</t>
        </is>
      </c>
      <c r="G262" t="inlineStr">
        <is>
          <t>Acuerdo por el cual se exhorta a la coordinación general de protección civil y gestión del riesgo de desastres, a los doscientos doce ayuntamientos y cinco concejos municipales del estado, para que, de manera coordinada y en el ámbito de sus respectivas competencias, refuercen las acciones de prevención y supervisión de las medidas de seguridad de manejo o quema de artificios pirotécnicos</t>
        </is>
      </c>
      <c r="H262" t="n">
        <v>3</v>
      </c>
      <c r="I262" t="inlineStr">
        <is>
          <t>Seguridad Pública, Protección Civil y Narcotráfico</t>
        </is>
      </c>
      <c r="J262" t="n">
        <v>6</v>
      </c>
      <c r="K262" t="n">
        <v>0</v>
      </c>
      <c r="L262" t="n">
        <v>0</v>
      </c>
      <c r="M262" t="n">
        <v>35</v>
      </c>
      <c r="N262">
        <f>SUM(J262:M262)</f>
        <v/>
      </c>
      <c r="O262" s="4">
        <f>SUM(J262:L262)/SUM(J262:M262)</f>
        <v/>
      </c>
      <c r="P262" s="5">
        <f>MAX(J262:L262)/SUM(J262:L262)</f>
        <v/>
      </c>
    </row>
    <row r="263">
      <c r="A263" t="inlineStr">
        <is>
          <t>Segundo año</t>
        </is>
      </c>
      <c r="B263" t="inlineStr">
        <is>
          <t>Tercer periodo</t>
        </is>
      </c>
      <c r="C263" t="n">
        <v>58</v>
      </c>
      <c r="D263" t="n">
        <v>261</v>
      </c>
      <c r="E263" s="3" t="n">
        <v>46225</v>
      </c>
      <c r="F263" t="inlineStr">
        <is>
          <t>Punto de Acuerdo</t>
        </is>
      </c>
      <c r="G263" t="inlineStr">
        <is>
          <t>Acuerdo por el cual se exhorta a la coordinación general de protección civil y gestión del riesgo de desastres del estado, a los doscientos doce ayuntamientos y cinco concejos municipales, para que, de manera coordinada, realicen permanentemente la prevención, inspección, control, vigilancia y medidas de seguridad en los espacios donde se desarrollen eventos o espectáculos públicos de afluencia masiva</t>
        </is>
      </c>
      <c r="H263" t="n">
        <v>3</v>
      </c>
      <c r="I263" t="inlineStr">
        <is>
          <t>Seguridad Pública, Protección Civil y Narcotráfico</t>
        </is>
      </c>
      <c r="J263" t="n">
        <v>6</v>
      </c>
      <c r="K263" t="n">
        <v>0</v>
      </c>
      <c r="L263" t="n">
        <v>0</v>
      </c>
      <c r="M263" t="n">
        <v>35</v>
      </c>
      <c r="N263">
        <f>SUM(J263:M263)</f>
        <v/>
      </c>
      <c r="O263" s="4">
        <f>SUM(J263:L263)/SUM(J263:M263)</f>
        <v/>
      </c>
      <c r="P263" s="5">
        <f>MAX(J263:L263)/SUM(J263:L263)</f>
        <v/>
      </c>
    </row>
    <row r="264">
      <c r="A264" t="inlineStr">
        <is>
          <t>Segundo año</t>
        </is>
      </c>
      <c r="B264" t="inlineStr">
        <is>
          <t>Tercer periodo</t>
        </is>
      </c>
      <c r="C264" t="n">
        <v>59</v>
      </c>
      <c r="D264" t="n">
        <v>262</v>
      </c>
      <c r="E264" s="3" t="n">
        <v>46225</v>
      </c>
      <c r="F264" t="inlineStr">
        <is>
          <t>Punto de Acuerdo</t>
        </is>
      </c>
      <c r="G264" t="inlineStr">
        <is>
          <t>Acuerdo por el cual se exhorta a la coordinación general de protección civil, gestión del riesgo de desastres, a los doscientos doce ayuntamientos y cinco concejos municipales, para que, de manera coordinada y en el ámbito de sus competencias, fortalezcan las acciones de atención con motivo de la temporada de lluvias en el estado</t>
        </is>
      </c>
      <c r="H264" t="n">
        <v>3</v>
      </c>
      <c r="I264" t="inlineStr">
        <is>
          <t>Seguridad Pública, Protección Civil y Narcotráfico</t>
        </is>
      </c>
      <c r="J264" t="n">
        <v>7</v>
      </c>
      <c r="K264" t="n">
        <v>0</v>
      </c>
      <c r="L264" t="n">
        <v>0</v>
      </c>
      <c r="M264" t="n">
        <v>34</v>
      </c>
      <c r="N264">
        <f>SUM(J264:M264)</f>
        <v/>
      </c>
      <c r="O264" s="4">
        <f>SUM(J264:L264)/SUM(J264:M264)</f>
        <v/>
      </c>
      <c r="P264" s="5">
        <f>MAX(J264:L264)/SUM(J264:L264)</f>
        <v/>
      </c>
    </row>
    <row r="265">
      <c r="A265" t="inlineStr">
        <is>
          <t>Segundo año</t>
        </is>
      </c>
      <c r="B265" t="inlineStr">
        <is>
          <t>Tercer periodo</t>
        </is>
      </c>
      <c r="C265" t="n">
        <v>60</v>
      </c>
      <c r="D265" t="n">
        <v>263</v>
      </c>
      <c r="E265" s="3" t="n">
        <v>46225</v>
      </c>
      <c r="F265" t="inlineStr">
        <is>
          <t>Punto de Acuerdo</t>
        </is>
      </c>
      <c r="G265" t="inlineStr">
        <is>
          <t>Acuerdo por el cual se exhorta a los doscientos doce ayuntamientos y cinco concejos municipales del estado de, para que, en el ámbito de sus atribuciones y durante el proceso de integración de sus respectivos proyectos de presupuesto de egresos, consideren la incorporación de acciones orientadas a la elaboración y actualización de sus atlas municipales de riesgos</t>
        </is>
      </c>
      <c r="H265" t="n">
        <v>3</v>
      </c>
      <c r="I265" t="inlineStr">
        <is>
          <t>Seguridad Pública, Protección Civil y Narcotráfico</t>
        </is>
      </c>
      <c r="J265" t="n">
        <v>7</v>
      </c>
      <c r="K265" t="n">
        <v>0</v>
      </c>
      <c r="L265" t="n">
        <v>0</v>
      </c>
      <c r="M265" t="n">
        <v>34</v>
      </c>
      <c r="N265">
        <f>SUM(J265:M265)</f>
        <v/>
      </c>
      <c r="O265" s="4">
        <f>SUM(J265:L265)/SUM(J265:M265)</f>
        <v/>
      </c>
      <c r="P265" s="5">
        <f>MAX(J265:L265)/SUM(J265:L265)</f>
        <v/>
      </c>
    </row>
    <row r="266">
      <c r="A266" t="inlineStr">
        <is>
          <t>Segundo año</t>
        </is>
      </c>
      <c r="B266" t="inlineStr">
        <is>
          <t>Tercer periodo</t>
        </is>
      </c>
      <c r="C266" t="n">
        <v>61</v>
      </c>
      <c r="D266" t="n">
        <v>264</v>
      </c>
      <c r="E266" s="3" t="n">
        <v>46225</v>
      </c>
      <c r="F266" t="inlineStr">
        <is>
          <t>Punto de Acuerdo</t>
        </is>
      </c>
      <c r="G266" t="inlineStr">
        <is>
          <t>Acuerdo por el cual se exhorta a las dependencias y entidades de la administración pública estatal y a los doscientos doce ayuntamientos y cinco concejos municipales del estado, para que, en el ámbito de sus respectivas competencias, fortalezcan y/o implementen mecanismos de atención preferente, accesibilidad y trato digno para las personas adultas mayores</t>
        </is>
      </c>
      <c r="H266" t="n">
        <v>2</v>
      </c>
      <c r="I266" t="inlineStr">
        <is>
          <t>Pobreza y Política Social</t>
        </is>
      </c>
      <c r="J266" t="n">
        <v>7</v>
      </c>
      <c r="K266" t="n">
        <v>0</v>
      </c>
      <c r="L266" t="n">
        <v>0</v>
      </c>
      <c r="M266" t="n">
        <v>34</v>
      </c>
      <c r="N266">
        <f>SUM(J266:M266)</f>
        <v/>
      </c>
      <c r="O266" s="4">
        <f>SUM(J266:L266)/SUM(J266:M266)</f>
        <v/>
      </c>
      <c r="P266" s="5">
        <f>MAX(J266:L266)/SUM(J266:L266)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2026-08-08T04:34:34Z</dcterms:created>
  <dcterms:modified xsi:type="dcterms:W3CDTF">2026-08-08T04:34:34Z</dcterms:modified>
</cp:coreProperties>
</file>