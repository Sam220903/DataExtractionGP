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 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2">
    <font>
      <name val="Calibri"/>
      <family val="2"/>
      <color theme="1"/>
      <sz val="11"/>
      <scheme val="minor"/>
    </font>
    <font>
      <b val="1"/>
    </font>
  </fonts>
  <fills count="3">
    <fill>
      <patternFill/>
    </fill>
    <fill>
      <patternFill patternType="gray125"/>
    </fill>
    <fill>
      <patternFill patternType="solid">
        <fgColor rgb="00FFFF00"/>
        <b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1" fillId="2" borderId="0" pivotButton="0" quotePrefix="0" xfId="0"/>
    <xf numFmtId="165" fontId="0" fillId="0" borderId="0" pivotButton="0" quotePrefix="0" xfId="0"/>
    <xf numFmtId="9"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Año Legislatura</t>
        </is>
      </c>
      <c r="B1" s="1" t="inlineStr">
        <is>
          <t>Periodo</t>
        </is>
      </c>
      <c r="C1" s="2" t="inlineStr">
        <is>
          <t>Folio periodo</t>
        </is>
      </c>
      <c r="D1" s="2" t="inlineStr">
        <is>
          <t>Folio legislatura</t>
        </is>
      </c>
      <c r="E1" s="1" t="inlineStr">
        <is>
          <t>Fecha</t>
        </is>
      </c>
      <c r="F1" s="1" t="inlineStr">
        <is>
          <t>Tipo</t>
        </is>
      </c>
      <c r="G1" s="1" t="inlineStr">
        <is>
          <t>Título</t>
        </is>
      </c>
      <c r="H1" s="2" t="inlineStr">
        <is>
          <t>Tema 1</t>
        </is>
      </c>
      <c r="I1" s="2" t="inlineStr">
        <is>
          <t>Tema</t>
        </is>
      </c>
      <c r="J1" s="1" t="inlineStr">
        <is>
          <t>A favor</t>
        </is>
      </c>
      <c r="K1" s="1" t="inlineStr">
        <is>
          <t>Contra</t>
        </is>
      </c>
      <c r="L1" s="1" t="inlineStr">
        <is>
          <t>Abstenciones</t>
        </is>
      </c>
      <c r="M1" s="1" t="inlineStr">
        <is>
          <t>Ausentes</t>
        </is>
      </c>
      <c r="N1" s="1" t="inlineStr">
        <is>
          <t>Total</t>
        </is>
      </c>
      <c r="O1" s="1" t="inlineStr">
        <is>
          <t>Porcentaje de Participación</t>
        </is>
      </c>
      <c r="P1" s="1" t="inlineStr">
        <is>
          <t>Unidad</t>
        </is>
      </c>
    </row>
    <row r="2">
      <c r="A2" t="inlineStr">
        <is>
          <t>Tercer año</t>
        </is>
      </c>
      <c r="B2" t="inlineStr">
        <is>
          <t>Tercer periodo</t>
        </is>
      </c>
      <c r="C2" t="n">
        <v>1</v>
      </c>
      <c r="D2" t="n">
        <v>1</v>
      </c>
      <c r="E2" s="3" t="n">
        <v>45545</v>
      </c>
      <c r="F2" t="inlineStr">
        <is>
          <t>Punto de Acuerdo</t>
        </is>
      </c>
      <c r="G2" t="inlineStr">
        <is>
          <t>Elección de una presidencia, dos vicepresidencias, dos secretarías y dos pro-secretarías que integrarán la primera mesa directiva</t>
        </is>
      </c>
      <c r="H2" t="n">
        <v>19</v>
      </c>
      <c r="I2" t="inlineStr">
        <is>
          <t>Internos del Congreso</t>
        </is>
      </c>
      <c r="J2" t="n">
        <v>40</v>
      </c>
      <c r="K2" t="n">
        <v>0</v>
      </c>
      <c r="L2" t="n">
        <v>0</v>
      </c>
      <c r="M2" t="n">
        <v>0</v>
      </c>
      <c r="N2">
        <f>SUM(J2:M2)</f>
        <v/>
      </c>
      <c r="O2" s="4">
        <f>SUM(J2:L2)/SUM(J2:M2)</f>
        <v/>
      </c>
      <c r="P2" s="5">
        <f>MAX(J2:L2)/SUM(J2:L2)</f>
        <v/>
      </c>
    </row>
    <row r="3">
      <c r="A3" t="inlineStr">
        <is>
          <t>Primer año</t>
        </is>
      </c>
      <c r="B3" t="inlineStr">
        <is>
          <t>Primer periodo</t>
        </is>
      </c>
      <c r="C3" t="n">
        <v>1</v>
      </c>
      <c r="D3" t="n">
        <v>1</v>
      </c>
      <c r="E3" s="3" t="n">
        <v>45554</v>
      </c>
      <c r="F3" t="inlineStr">
        <is>
          <t>Punto de Acuerdo</t>
        </is>
      </c>
      <c r="G3" t="inlineStr">
        <is>
          <t>Acuerdo por el cual elección e integración de las comisiones generales</t>
        </is>
      </c>
      <c r="H3" t="n">
        <v>19</v>
      </c>
      <c r="I3" t="inlineStr">
        <is>
          <t>Internos del Congreso</t>
        </is>
      </c>
      <c r="J3" t="n">
        <v>41</v>
      </c>
      <c r="K3" t="n">
        <v>0</v>
      </c>
      <c r="L3" t="n">
        <v>0</v>
      </c>
      <c r="M3" t="n">
        <v>0</v>
      </c>
      <c r="N3">
        <f>SUM(J3:M3)</f>
        <v/>
      </c>
      <c r="O3" s="4">
        <f>SUM(J3:L3)/SUM(J3:M3)</f>
        <v/>
      </c>
      <c r="P3" s="5">
        <f>MAX(J3:L3)/SUM(J3:L3)</f>
        <v/>
      </c>
    </row>
    <row r="4">
      <c r="A4" t="inlineStr">
        <is>
          <t>Primer año</t>
        </is>
      </c>
      <c r="B4" t="inlineStr">
        <is>
          <t>Primer periodo</t>
        </is>
      </c>
      <c r="C4" t="n">
        <v>2</v>
      </c>
      <c r="D4" t="n">
        <v>2</v>
      </c>
      <c r="E4" s="3" t="n">
        <v>45554</v>
      </c>
      <c r="F4" t="inlineStr">
        <is>
          <t>Punto de Acuerdo</t>
        </is>
      </c>
      <c r="G4" t="inlineStr">
        <is>
          <t>Acuerdo por el cual elección e integración de los comités</t>
        </is>
      </c>
      <c r="H4" t="n">
        <v>19</v>
      </c>
      <c r="I4" t="inlineStr">
        <is>
          <t>Internos del Congreso</t>
        </is>
      </c>
      <c r="J4" t="n">
        <v>41</v>
      </c>
      <c r="K4" t="n">
        <v>0</v>
      </c>
      <c r="L4" t="n">
        <v>0</v>
      </c>
      <c r="M4" t="n">
        <v>0</v>
      </c>
      <c r="N4">
        <f>SUM(J4:M4)</f>
        <v/>
      </c>
      <c r="O4" s="4">
        <f>SUM(J4:L4)/SUM(J4:M4)</f>
        <v/>
      </c>
      <c r="P4" s="5">
        <f>MAX(J4:L4)/SUM(J4:L4)</f>
        <v/>
      </c>
    </row>
    <row r="5">
      <c r="A5" t="inlineStr">
        <is>
          <t>Primer año</t>
        </is>
      </c>
      <c r="B5" t="inlineStr">
        <is>
          <t>Primer periodo</t>
        </is>
      </c>
      <c r="C5" t="n">
        <v>3</v>
      </c>
      <c r="D5" t="n">
        <v>3</v>
      </c>
      <c r="E5" s="3" t="n">
        <v>45554</v>
      </c>
      <c r="F5" t="inlineStr">
        <is>
          <t>Punto de Acuerdo</t>
        </is>
      </c>
      <c r="G5" t="inlineStr">
        <is>
          <t>Elección de la diputada Laura Artemisa García Chávez para presidir la Junta de Gobierno y Coordinación Política</t>
        </is>
      </c>
      <c r="H5" t="n">
        <v>19</v>
      </c>
      <c r="I5" t="inlineStr">
        <is>
          <t>Internos del Congreso</t>
        </is>
      </c>
      <c r="J5" t="n">
        <v>40</v>
      </c>
      <c r="K5" t="n">
        <v>0</v>
      </c>
      <c r="L5" t="n">
        <v>0</v>
      </c>
      <c r="M5" t="n">
        <v>0</v>
      </c>
      <c r="N5">
        <f>SUM(J5:M5)</f>
        <v/>
      </c>
      <c r="O5" s="4">
        <f>SUM(J5:L5)/SUM(J5:M5)</f>
        <v/>
      </c>
      <c r="P5" s="5">
        <f>MAX(J5:L5)/SUM(J5:L5)</f>
        <v/>
      </c>
    </row>
    <row r="6">
      <c r="A6" t="inlineStr">
        <is>
          <t>Primer año</t>
        </is>
      </c>
      <c r="B6" t="inlineStr">
        <is>
          <t>Primer periodo</t>
        </is>
      </c>
      <c r="C6" t="n">
        <v>4</v>
      </c>
      <c r="D6" t="n">
        <v>4</v>
      </c>
      <c r="E6" s="3" t="n">
        <v>45561</v>
      </c>
      <c r="F6" t="inlineStr">
        <is>
          <t>Punto de Acuerdo</t>
        </is>
      </c>
      <c r="G6" t="inlineStr">
        <is>
          <t>Acuerdo para la elección e integración de una vocalía en la Comisión General Instructora</t>
        </is>
      </c>
      <c r="H6" t="n">
        <v>19</v>
      </c>
      <c r="I6" t="inlineStr">
        <is>
          <t>Internos del Congreso</t>
        </is>
      </c>
      <c r="J6" t="n">
        <v>40</v>
      </c>
      <c r="K6" t="n">
        <v>0</v>
      </c>
      <c r="L6" t="n">
        <v>0</v>
      </c>
      <c r="M6" t="n">
        <v>0</v>
      </c>
      <c r="N6">
        <f>SUM(J6:M6)</f>
        <v/>
      </c>
      <c r="O6" s="4">
        <f>SUM(J6:L6)/SUM(J6:M6)</f>
        <v/>
      </c>
      <c r="P6" s="5">
        <f>MAX(J6:L6)/SUM(J6:L6)</f>
        <v/>
      </c>
    </row>
    <row r="7">
      <c r="A7" t="inlineStr">
        <is>
          <t>Primer año</t>
        </is>
      </c>
      <c r="B7" t="inlineStr">
        <is>
          <t>Primer periodo</t>
        </is>
      </c>
      <c r="C7" t="n">
        <v>5</v>
      </c>
      <c r="D7" t="n">
        <v>5</v>
      </c>
      <c r="E7" s="3" t="n">
        <v>45561</v>
      </c>
      <c r="F7" t="inlineStr">
        <is>
          <t>Punto de Acuerdo</t>
        </is>
      </c>
      <c r="G7" t="inlineStr">
        <is>
          <t>Acuerdo para la elección e integración de una vocalía en el Comité de Diario de Debates, Crónica Legislativa y Asuntos Editoriales</t>
        </is>
      </c>
      <c r="H7" t="n">
        <v>19</v>
      </c>
      <c r="I7" t="inlineStr">
        <is>
          <t>Internos del Congreso</t>
        </is>
      </c>
      <c r="J7" t="n">
        <v>40</v>
      </c>
      <c r="K7" t="n">
        <v>0</v>
      </c>
      <c r="L7" t="n">
        <v>0</v>
      </c>
      <c r="M7" t="n">
        <v>0</v>
      </c>
      <c r="N7">
        <f>SUM(J7:M7)</f>
        <v/>
      </c>
      <c r="O7" s="4">
        <f>SUM(J7:L7)/SUM(J7:M7)</f>
        <v/>
      </c>
      <c r="P7" s="5">
        <f>MAX(J7:L7)/SUM(J7:L7)</f>
        <v/>
      </c>
    </row>
    <row r="8">
      <c r="A8" t="inlineStr">
        <is>
          <t>Primer año</t>
        </is>
      </c>
      <c r="B8" t="inlineStr">
        <is>
          <t>Primer periodo</t>
        </is>
      </c>
      <c r="C8" t="n">
        <v>6</v>
      </c>
      <c r="D8" t="n">
        <v>6</v>
      </c>
      <c r="E8" s="3" t="n">
        <v>45561</v>
      </c>
      <c r="F8" t="inlineStr">
        <is>
          <t>Iniciativa</t>
        </is>
      </c>
      <c r="G8" t="inlineStr">
        <is>
          <t>Dictamen con minuta de decreto por el cual se reforma, adiciona y deroga el artículo 2° de la Constitución Política de los Estados Unidos Mexicanos, en materia de pueblos y comunidades indígenas y afromexicanos</t>
        </is>
      </c>
      <c r="H8" t="n">
        <v>14</v>
      </c>
      <c r="I8" t="inlineStr">
        <is>
          <t>Justicia y Estado de Derecho</t>
        </is>
      </c>
      <c r="J8" t="n">
        <v>40</v>
      </c>
      <c r="K8" t="n">
        <v>0</v>
      </c>
      <c r="L8" t="n">
        <v>0</v>
      </c>
      <c r="M8" t="n">
        <v>0</v>
      </c>
      <c r="N8">
        <f>SUM(J8:M8)</f>
        <v/>
      </c>
      <c r="O8" s="4">
        <f>SUM(J8:L8)/SUM(J8:M8)</f>
        <v/>
      </c>
      <c r="P8" s="5">
        <f>MAX(J8:L8)/SUM(J8:L8)</f>
        <v/>
      </c>
    </row>
    <row r="9">
      <c r="A9" t="inlineStr">
        <is>
          <t>Primer año</t>
        </is>
      </c>
      <c r="B9" t="inlineStr">
        <is>
          <t>Primer periodo</t>
        </is>
      </c>
      <c r="C9" t="n">
        <v>7</v>
      </c>
      <c r="D9" t="n">
        <v>7</v>
      </c>
      <c r="E9" s="3" t="n">
        <v>45561</v>
      </c>
      <c r="F9" t="inlineStr">
        <is>
          <t>Iniciativa</t>
        </is>
      </c>
      <c r="G9" t="inlineStr">
        <is>
          <t>Dictamen con minuta de decreto por el cual se reforman y adicionan los artículos 13, 16, 21, 32, 55, 73, 76, 78, 82, 89, 123 y 129 de la Constitución Política de los Estados Unidos Mexicanos, en materia de Guardia Nacional</t>
        </is>
      </c>
      <c r="H9" t="n">
        <v>3</v>
      </c>
      <c r="I9" t="inlineStr">
        <is>
          <t>Seguridad Pública, Protección Civil y Narcotráfico</t>
        </is>
      </c>
      <c r="J9" t="n">
        <v>33</v>
      </c>
      <c r="K9" t="n">
        <v>7</v>
      </c>
      <c r="L9" t="n">
        <v>0</v>
      </c>
      <c r="M9" t="n">
        <v>0</v>
      </c>
      <c r="N9">
        <f>SUM(J9:M9)</f>
        <v/>
      </c>
      <c r="O9" s="4">
        <f>SUM(J9:L9)/SUM(J9:M9)</f>
        <v/>
      </c>
      <c r="P9" s="5">
        <f>MAX(J9:L9)/SUM(J9:L9)</f>
        <v/>
      </c>
    </row>
    <row r="10">
      <c r="A10" t="inlineStr">
        <is>
          <t>Primer año</t>
        </is>
      </c>
      <c r="B10" t="inlineStr">
        <is>
          <t>Primer periodo</t>
        </is>
      </c>
      <c r="C10" t="n">
        <v>8</v>
      </c>
      <c r="D10" t="n">
        <v>8</v>
      </c>
      <c r="E10" s="3" t="n">
        <v>45561</v>
      </c>
      <c r="F10" t="inlineStr">
        <is>
          <t>Punto de Acuerdo</t>
        </is>
      </c>
      <c r="G10" t="inlineStr">
        <is>
          <t>Acuerdo por el cual se concede licencia a la ciudadana Ana Laura Altamirano Pérez, para separarse del cargo de diputada local</t>
        </is>
      </c>
      <c r="H10" t="n">
        <v>18</v>
      </c>
      <c r="I10" t="inlineStr">
        <is>
          <t>Administración Pública</t>
        </is>
      </c>
      <c r="J10" t="n">
        <v>40</v>
      </c>
      <c r="K10" t="n">
        <v>0</v>
      </c>
      <c r="L10" t="n">
        <v>0</v>
      </c>
      <c r="M10" t="n">
        <v>0</v>
      </c>
      <c r="N10">
        <f>SUM(J10:M10)</f>
        <v/>
      </c>
      <c r="O10" s="4">
        <f>SUM(J10:L10)/SUM(J10:M10)</f>
        <v/>
      </c>
      <c r="P10" s="5">
        <f>MAX(J10:L10)/SUM(J10:L10)</f>
        <v/>
      </c>
    </row>
    <row r="11">
      <c r="A11" t="inlineStr">
        <is>
          <t>Primer año</t>
        </is>
      </c>
      <c r="B11" t="inlineStr">
        <is>
          <t>Primer periodo</t>
        </is>
      </c>
      <c r="C11" t="n">
        <v>9</v>
      </c>
      <c r="D11" t="n">
        <v>9</v>
      </c>
      <c r="E11" s="3" t="n">
        <v>45568</v>
      </c>
      <c r="F11" t="inlineStr">
        <is>
          <t>Punto de Acuerdo</t>
        </is>
      </c>
      <c r="G11" t="inlineStr">
        <is>
          <t>Acuerdo por el cual la dispensa de la lectura del orden del día</t>
        </is>
      </c>
      <c r="H11" t="n">
        <v>19</v>
      </c>
      <c r="I11" t="inlineStr">
        <is>
          <t>Internos del Congreso</t>
        </is>
      </c>
      <c r="J11" t="n">
        <v>41</v>
      </c>
      <c r="K11" t="n">
        <v>0</v>
      </c>
      <c r="L11" t="n">
        <v>0</v>
      </c>
      <c r="M11" t="n">
        <v>0</v>
      </c>
      <c r="N11">
        <f>SUM(J11:M11)</f>
        <v/>
      </c>
      <c r="O11" s="4">
        <f>SUM(J11:L11)/SUM(J11:M11)</f>
        <v/>
      </c>
      <c r="P11" s="5">
        <f>MAX(J11:L11)/SUM(J11:L11)</f>
        <v/>
      </c>
    </row>
    <row r="12">
      <c r="A12" t="inlineStr">
        <is>
          <t>Primer año</t>
        </is>
      </c>
      <c r="B12" t="inlineStr">
        <is>
          <t>Primer periodo</t>
        </is>
      </c>
      <c r="C12" t="n">
        <v>10</v>
      </c>
      <c r="D12" t="n">
        <v>10</v>
      </c>
      <c r="E12" s="3" t="n">
        <v>45568</v>
      </c>
      <c r="F12" t="inlineStr">
        <is>
          <t>Punto de Acuerdo</t>
        </is>
      </c>
      <c r="G12" t="inlineStr">
        <is>
          <t>Acuerdo por el cual la dispensa de lectura del acta de la sesión pública ordinaria</t>
        </is>
      </c>
      <c r="H12" t="n">
        <v>19</v>
      </c>
      <c r="I12" t="inlineStr">
        <is>
          <t>Internos del Congreso</t>
        </is>
      </c>
      <c r="J12" t="n">
        <v>41</v>
      </c>
      <c r="K12" t="n">
        <v>0</v>
      </c>
      <c r="L12" t="n">
        <v>0</v>
      </c>
      <c r="M12" t="n">
        <v>0</v>
      </c>
      <c r="N12">
        <f>SUM(J12:M12)</f>
        <v/>
      </c>
      <c r="O12" s="4">
        <f>SUM(J12:L12)/SUM(J12:M12)</f>
        <v/>
      </c>
      <c r="P12" s="5">
        <f>MAX(J12:L12)/SUM(J12:L12)</f>
        <v/>
      </c>
    </row>
    <row r="13">
      <c r="A13" t="inlineStr">
        <is>
          <t>Primer año</t>
        </is>
      </c>
      <c r="B13" t="inlineStr">
        <is>
          <t>Primer periodo</t>
        </is>
      </c>
      <c r="C13" t="n">
        <v>11</v>
      </c>
      <c r="D13" t="n">
        <v>11</v>
      </c>
      <c r="E13" s="3" t="n">
        <v>45568</v>
      </c>
      <c r="F13" t="inlineStr">
        <is>
          <t>Punto de Acuerdo</t>
        </is>
      </c>
      <c r="G13" t="inlineStr">
        <is>
          <t>Acuerdo por el cual el contenido del acta de la sesión pública ordinaria</t>
        </is>
      </c>
      <c r="H13" t="n">
        <v>19</v>
      </c>
      <c r="I13" t="inlineStr">
        <is>
          <t>Internos del Congreso</t>
        </is>
      </c>
      <c r="J13" t="n">
        <v>41</v>
      </c>
      <c r="K13" t="n">
        <v>0</v>
      </c>
      <c r="L13" t="n">
        <v>0</v>
      </c>
      <c r="M13" t="n">
        <v>0</v>
      </c>
      <c r="N13">
        <f>SUM(J13:M13)</f>
        <v/>
      </c>
      <c r="O13" s="4">
        <f>SUM(J13:L13)/SUM(J13:M13)</f>
        <v/>
      </c>
      <c r="P13" s="5">
        <f>MAX(J13:L13)/SUM(J13:L13)</f>
        <v/>
      </c>
    </row>
    <row r="14">
      <c r="A14" t="inlineStr">
        <is>
          <t>Primer año</t>
        </is>
      </c>
      <c r="B14" t="inlineStr">
        <is>
          <t>Primer periodo</t>
        </is>
      </c>
      <c r="C14" t="n">
        <v>12</v>
      </c>
      <c r="D14" t="n">
        <v>12</v>
      </c>
      <c r="E14" s="3" t="n">
        <v>45575</v>
      </c>
      <c r="F14" t="inlineStr">
        <is>
          <t>Punto de Acuerdo</t>
        </is>
      </c>
      <c r="G14" t="inlineStr">
        <is>
          <t>Acuerdo por el cual la renuncia de la titular del órgano interno de control del honorable congreso del estado</t>
        </is>
      </c>
      <c r="H14" t="n">
        <v>18</v>
      </c>
      <c r="I14" t="inlineStr">
        <is>
          <t>Administración Pública</t>
        </is>
      </c>
      <c r="J14" t="n">
        <v>36</v>
      </c>
      <c r="K14" t="n">
        <v>0</v>
      </c>
      <c r="L14" t="n">
        <v>0</v>
      </c>
      <c r="M14" t="n">
        <v>0</v>
      </c>
      <c r="N14">
        <f>SUM(J14:M14)</f>
        <v/>
      </c>
      <c r="O14" s="4">
        <f>SUM(J14:L14)/SUM(J14:M14)</f>
        <v/>
      </c>
      <c r="P14" s="5">
        <f>MAX(J14:L14)/SUM(J14:L14)</f>
        <v/>
      </c>
    </row>
    <row r="15">
      <c r="A15" t="inlineStr">
        <is>
          <t>Primer año</t>
        </is>
      </c>
      <c r="B15" t="inlineStr">
        <is>
          <t>Primer periodo</t>
        </is>
      </c>
      <c r="C15" t="n">
        <v>13</v>
      </c>
      <c r="D15" t="n">
        <v>13</v>
      </c>
      <c r="E15" s="3" t="n">
        <v>45575</v>
      </c>
      <c r="F15" t="inlineStr">
        <is>
          <t>Punto de Acuerdo</t>
        </is>
      </c>
      <c r="G15" t="inlineStr">
        <is>
          <t>Acuerdo por el cual el nombramiento del ciudadano Antonio Vasconcelos Rueda como titular del órgano interno de control del honorable congreso del estado</t>
        </is>
      </c>
      <c r="H15" t="n">
        <v>18</v>
      </c>
      <c r="I15" t="inlineStr">
        <is>
          <t>Administración Pública</t>
        </is>
      </c>
      <c r="J15" t="n">
        <v>37</v>
      </c>
      <c r="K15" t="n">
        <v>0</v>
      </c>
      <c r="L15" t="n">
        <v>0</v>
      </c>
      <c r="M15" t="n">
        <v>0</v>
      </c>
      <c r="N15">
        <f>SUM(J15:M15)</f>
        <v/>
      </c>
      <c r="O15" s="4">
        <f>SUM(J15:L15)/SUM(J15:M15)</f>
        <v/>
      </c>
      <c r="P15" s="5">
        <f>MAX(J15:L15)/SUM(J15:L15)</f>
        <v/>
      </c>
    </row>
    <row r="16">
      <c r="A16" t="inlineStr">
        <is>
          <t>Primer año</t>
        </is>
      </c>
      <c r="B16" t="inlineStr">
        <is>
          <t>Primer periodo</t>
        </is>
      </c>
      <c r="C16" t="n">
        <v>14</v>
      </c>
      <c r="D16" t="n">
        <v>14</v>
      </c>
      <c r="E16" s="3" t="n">
        <v>45575</v>
      </c>
      <c r="F16" t="inlineStr">
        <is>
          <t>Punto de Acuerdo</t>
        </is>
      </c>
      <c r="G16" t="inlineStr">
        <is>
          <t>Acuerdo para la elección e integración de las comisiones generales antes referidas</t>
        </is>
      </c>
      <c r="H16" t="n">
        <v>19</v>
      </c>
      <c r="I16" t="inlineStr">
        <is>
          <t>Internos del Congreso</t>
        </is>
      </c>
      <c r="J16" t="n">
        <v>37</v>
      </c>
      <c r="K16" t="n">
        <v>0</v>
      </c>
      <c r="L16" t="n">
        <v>0</v>
      </c>
      <c r="M16" t="n">
        <v>0</v>
      </c>
      <c r="N16">
        <f>SUM(J16:M16)</f>
        <v/>
      </c>
      <c r="O16" s="4">
        <f>SUM(J16:L16)/SUM(J16:M16)</f>
        <v/>
      </c>
      <c r="P16" s="5">
        <f>MAX(J16:L16)/SUM(J16:L16)</f>
        <v/>
      </c>
    </row>
    <row r="17">
      <c r="A17" t="inlineStr">
        <is>
          <t>Primer año</t>
        </is>
      </c>
      <c r="B17" t="inlineStr">
        <is>
          <t>Primer periodo</t>
        </is>
      </c>
      <c r="C17" t="n">
        <v>15</v>
      </c>
      <c r="D17" t="n">
        <v>15</v>
      </c>
      <c r="E17" s="3" t="n">
        <v>45575</v>
      </c>
      <c r="F17" t="inlineStr">
        <is>
          <t>Punto de Acuerdo</t>
        </is>
      </c>
      <c r="G17" t="inlineStr">
        <is>
          <t>Acuerdo para la elección e integración de la presidencia del comité de adquisiciones, arrendamientos y servicios</t>
        </is>
      </c>
      <c r="H17" t="n">
        <v>19</v>
      </c>
      <c r="I17" t="inlineStr">
        <is>
          <t>Internos del Congreso</t>
        </is>
      </c>
      <c r="J17" t="n">
        <v>37</v>
      </c>
      <c r="K17" t="n">
        <v>0</v>
      </c>
      <c r="L17" t="n">
        <v>0</v>
      </c>
      <c r="M17" t="n">
        <v>0</v>
      </c>
      <c r="N17">
        <f>SUM(J17:M17)</f>
        <v/>
      </c>
      <c r="O17" s="4">
        <f>SUM(J17:L17)/SUM(J17:M17)</f>
        <v/>
      </c>
      <c r="P17" s="5">
        <f>MAX(J17:L17)/SUM(J17:L17)</f>
        <v/>
      </c>
    </row>
    <row r="18">
      <c r="A18" t="inlineStr">
        <is>
          <t>Primer año</t>
        </is>
      </c>
      <c r="B18" t="inlineStr">
        <is>
          <t>Primer periodo</t>
        </is>
      </c>
      <c r="C18" t="n">
        <v>16</v>
      </c>
      <c r="D18" t="n">
        <v>16</v>
      </c>
      <c r="E18" s="3" t="n">
        <v>45580</v>
      </c>
      <c r="F18" t="inlineStr">
        <is>
          <t>Iniciativa</t>
        </is>
      </c>
      <c r="G18" t="inlineStr">
        <is>
          <t>Dictamen con minuta Proyecto de decreto que presenta la comisión de gobernación y puntos constitucionales de la sexagésima segunda legislatura del honorable congreso del estado, por el que se reforma el primer párrafo de la fracción vi del apartado a y se adiciona un tercer párrafo a la fracción iv del apartado b del artículo 123 de la constitución política de los , en materia de salarios</t>
        </is>
      </c>
      <c r="H18" t="n">
        <v>18</v>
      </c>
      <c r="I18" t="inlineStr">
        <is>
          <t>Administración Pública</t>
        </is>
      </c>
      <c r="J18" t="n">
        <v>39</v>
      </c>
      <c r="K18" t="n">
        <v>0</v>
      </c>
      <c r="L18" t="n">
        <v>0</v>
      </c>
      <c r="M18" t="n">
        <v>2</v>
      </c>
      <c r="N18">
        <f>SUM(J18:M18)</f>
        <v/>
      </c>
      <c r="O18" s="4">
        <f>SUM(J18:L18)/SUM(J18:M18)</f>
        <v/>
      </c>
      <c r="P18" s="5">
        <f>MAX(J18:L18)/SUM(J18:L18)</f>
        <v/>
      </c>
    </row>
    <row r="19">
      <c r="A19" t="inlineStr">
        <is>
          <t>Primer año</t>
        </is>
      </c>
      <c r="B19" t="inlineStr">
        <is>
          <t>Primer periodo</t>
        </is>
      </c>
      <c r="C19" t="n">
        <v>17</v>
      </c>
      <c r="D19" t="n">
        <v>17</v>
      </c>
      <c r="E19" s="3" t="n">
        <v>45580</v>
      </c>
      <c r="F19" t="inlineStr">
        <is>
          <t>Punto de Acuerdo</t>
        </is>
      </c>
      <c r="G19" t="inlineStr">
        <is>
          <t>Acuerdo por el cual dictámenes con minuta de decreto, por virtud de los cuales se convoca a elecciones extraordinarias de miembros de los ayuntamientos de ayotoxco de guerrero y xiutetelco, ambos del estado de , para ejercer funciones durante el periodo constitucional 2024-2027 y se designan concejos municipales</t>
        </is>
      </c>
      <c r="H19" t="n">
        <v>4</v>
      </c>
      <c r="I19" t="inlineStr">
        <is>
          <t>Partidos Políticos y Elecciones</t>
        </is>
      </c>
      <c r="J19" t="n">
        <v>39</v>
      </c>
      <c r="K19" t="n">
        <v>0</v>
      </c>
      <c r="L19" t="n">
        <v>0</v>
      </c>
      <c r="M19" t="n">
        <v>2</v>
      </c>
      <c r="N19">
        <f>SUM(J19:M19)</f>
        <v/>
      </c>
      <c r="O19" s="4">
        <f>SUM(J19:L19)/SUM(J19:M19)</f>
        <v/>
      </c>
      <c r="P19" s="5">
        <f>MAX(J19:L19)/SUM(J19:L19)</f>
        <v/>
      </c>
    </row>
    <row r="20">
      <c r="A20" t="inlineStr">
        <is>
          <t>Primer año</t>
        </is>
      </c>
      <c r="B20" t="inlineStr">
        <is>
          <t>Primer periodo</t>
        </is>
      </c>
      <c r="C20" t="n">
        <v>18</v>
      </c>
      <c r="D20" t="n">
        <v>18</v>
      </c>
      <c r="E20" s="3" t="n">
        <v>45580</v>
      </c>
      <c r="F20" t="inlineStr">
        <is>
          <t>Punto de Acuerdo</t>
        </is>
      </c>
      <c r="G20" t="inlineStr">
        <is>
          <t>Acuerdo por el cual dictámenes con minuta de decreto por virtud de los cuales se convoca a elecciones extraordinarias de miembros de los ayuntamientos de chignahuapan y venustiano carranza, ambos del estado de , para ejercer funciones durante el periodo constitucional 2024-2027 y se designan concejos municipales</t>
        </is>
      </c>
      <c r="H20" t="n">
        <v>4</v>
      </c>
      <c r="I20" t="inlineStr">
        <is>
          <t>Partidos Políticos y Elecciones</t>
        </is>
      </c>
      <c r="J20" t="n">
        <v>34</v>
      </c>
      <c r="K20" t="n">
        <v>6</v>
      </c>
      <c r="L20" t="n">
        <v>0</v>
      </c>
      <c r="M20" t="n">
        <v>1</v>
      </c>
      <c r="N20">
        <f>SUM(J20:M20)</f>
        <v/>
      </c>
      <c r="O20" s="4">
        <f>SUM(J20:L20)/SUM(J20:M20)</f>
        <v/>
      </c>
      <c r="P20" s="5">
        <f>MAX(J20:L20)/SUM(J20:L20)</f>
        <v/>
      </c>
    </row>
    <row r="21">
      <c r="A21" t="inlineStr">
        <is>
          <t>Primer año</t>
        </is>
      </c>
      <c r="B21" t="inlineStr">
        <is>
          <t>Primer periodo</t>
        </is>
      </c>
      <c r="C21" t="n">
        <v>19</v>
      </c>
      <c r="D21" t="n">
        <v>19</v>
      </c>
      <c r="E21" s="3" t="n">
        <v>45582</v>
      </c>
      <c r="F21" t="inlineStr">
        <is>
          <t>Punto de Acuerdo</t>
        </is>
      </c>
      <c r="G21" t="inlineStr">
        <is>
          <t>Acuerdo por el cual aprobar la dispensa de la lectura del orden del día</t>
        </is>
      </c>
      <c r="H21" t="n">
        <v>19</v>
      </c>
      <c r="I21" t="inlineStr">
        <is>
          <t>Internos del Congreso</t>
        </is>
      </c>
      <c r="J21" t="n">
        <v>41</v>
      </c>
      <c r="K21" t="n">
        <v>0</v>
      </c>
      <c r="L21" t="n">
        <v>0</v>
      </c>
      <c r="M21" t="n">
        <v>0</v>
      </c>
      <c r="N21">
        <f>SUM(J21:M21)</f>
        <v/>
      </c>
      <c r="O21" s="4">
        <f>SUM(J21:L21)/SUM(J21:M21)</f>
        <v/>
      </c>
      <c r="P21" s="5">
        <f>MAX(J21:L21)/SUM(J21:L21)</f>
        <v/>
      </c>
    </row>
    <row r="22">
      <c r="A22" t="inlineStr">
        <is>
          <t>Primer año</t>
        </is>
      </c>
      <c r="B22" t="inlineStr">
        <is>
          <t>Primer periodo</t>
        </is>
      </c>
      <c r="C22" t="n">
        <v>20</v>
      </c>
      <c r="D22" t="n">
        <v>20</v>
      </c>
      <c r="E22" s="3" t="n">
        <v>45582</v>
      </c>
      <c r="F22" t="inlineStr">
        <is>
          <t>Punto de Acuerdo</t>
        </is>
      </c>
      <c r="G22" t="inlineStr">
        <is>
          <t>Acuerdo por el cual aprobar la inclusión en el orden del día de la iniciativa en materia de cáncer de mama</t>
        </is>
      </c>
      <c r="H22" t="n">
        <v>6</v>
      </c>
      <c r="I22" t="inlineStr">
        <is>
          <t>Salud</t>
        </is>
      </c>
      <c r="J22" t="n">
        <v>41</v>
      </c>
      <c r="K22" t="n">
        <v>0</v>
      </c>
      <c r="L22" t="n">
        <v>0</v>
      </c>
      <c r="M22" t="n">
        <v>0</v>
      </c>
      <c r="N22">
        <f>SUM(J22:M22)</f>
        <v/>
      </c>
      <c r="O22" s="4">
        <f>SUM(J22:L22)/SUM(J22:M22)</f>
        <v/>
      </c>
      <c r="P22" s="5">
        <f>MAX(J22:L22)/SUM(J22:L22)</f>
        <v/>
      </c>
    </row>
    <row r="23">
      <c r="A23" t="inlineStr">
        <is>
          <t>Primer año</t>
        </is>
      </c>
      <c r="B23" t="inlineStr">
        <is>
          <t>Primer periodo</t>
        </is>
      </c>
      <c r="C23" t="n">
        <v>21</v>
      </c>
      <c r="D23" t="n">
        <v>21</v>
      </c>
      <c r="E23" s="3" t="n">
        <v>45582</v>
      </c>
      <c r="F23" t="inlineStr">
        <is>
          <t>Punto de Acuerdo</t>
        </is>
      </c>
      <c r="G23" t="inlineStr">
        <is>
          <t>Acuerdo por el cual aprobar el retiro del punto catorce del orden del día</t>
        </is>
      </c>
      <c r="H23" t="n">
        <v>19</v>
      </c>
      <c r="I23" t="inlineStr">
        <is>
          <t>Internos del Congreso</t>
        </is>
      </c>
      <c r="J23" t="n">
        <v>41</v>
      </c>
      <c r="K23" t="n">
        <v>0</v>
      </c>
      <c r="L23" t="n">
        <v>0</v>
      </c>
      <c r="M23" t="n">
        <v>0</v>
      </c>
      <c r="N23">
        <f>SUM(J23:M23)</f>
        <v/>
      </c>
      <c r="O23" s="4">
        <f>SUM(J23:L23)/SUM(J23:M23)</f>
        <v/>
      </c>
      <c r="P23" s="5">
        <f>MAX(J23:L23)/SUM(J23:L23)</f>
        <v/>
      </c>
    </row>
    <row r="24">
      <c r="A24" t="inlineStr">
        <is>
          <t>Primer año</t>
        </is>
      </c>
      <c r="B24" t="inlineStr">
        <is>
          <t>Primer periodo</t>
        </is>
      </c>
      <c r="C24" t="n">
        <v>22</v>
      </c>
      <c r="D24" t="n">
        <v>22</v>
      </c>
      <c r="E24" s="3" t="n">
        <v>45582</v>
      </c>
      <c r="F24" t="inlineStr">
        <is>
          <t>Punto de Acuerdo</t>
        </is>
      </c>
      <c r="G24" t="inlineStr">
        <is>
          <t>Acuerdo por el cual aprobar la dispensa de lectura del acta de la sesión anterior</t>
        </is>
      </c>
      <c r="H24" t="n">
        <v>19</v>
      </c>
      <c r="I24" t="inlineStr">
        <is>
          <t>Internos del Congreso</t>
        </is>
      </c>
      <c r="J24" t="n">
        <v>41</v>
      </c>
      <c r="K24" t="n">
        <v>0</v>
      </c>
      <c r="L24" t="n">
        <v>0</v>
      </c>
      <c r="M24" t="n">
        <v>0</v>
      </c>
      <c r="N24">
        <f>SUM(J24:M24)</f>
        <v/>
      </c>
      <c r="O24" s="4">
        <f>SUM(J24:L24)/SUM(J24:M24)</f>
        <v/>
      </c>
      <c r="P24" s="5">
        <f>MAX(J24:L24)/SUM(J24:L24)</f>
        <v/>
      </c>
    </row>
    <row r="25">
      <c r="A25" t="inlineStr">
        <is>
          <t>Primer año</t>
        </is>
      </c>
      <c r="B25" t="inlineStr">
        <is>
          <t>Primer periodo</t>
        </is>
      </c>
      <c r="C25" t="n">
        <v>23</v>
      </c>
      <c r="D25" t="n">
        <v>23</v>
      </c>
      <c r="E25" s="3" t="n">
        <v>45582</v>
      </c>
      <c r="F25" t="inlineStr">
        <is>
          <t>Punto de Acuerdo</t>
        </is>
      </c>
      <c r="G25" t="inlineStr">
        <is>
          <t>Acuerdo por el cual aprobar el contenido del acta de la sesión anterior</t>
        </is>
      </c>
      <c r="H25" t="n">
        <v>19</v>
      </c>
      <c r="I25" t="inlineStr">
        <is>
          <t>Internos del Congreso</t>
        </is>
      </c>
      <c r="J25" t="n">
        <v>41</v>
      </c>
      <c r="K25" t="n">
        <v>0</v>
      </c>
      <c r="L25" t="n">
        <v>0</v>
      </c>
      <c r="M25" t="n">
        <v>0</v>
      </c>
      <c r="N25">
        <f>SUM(J25:M25)</f>
        <v/>
      </c>
      <c r="O25" s="4">
        <f>SUM(J25:L25)/SUM(J25:M25)</f>
        <v/>
      </c>
      <c r="P25" s="5">
        <f>MAX(J25:L25)/SUM(J25:L25)</f>
        <v/>
      </c>
    </row>
    <row r="26">
      <c r="A26" t="inlineStr">
        <is>
          <t>Primer año</t>
        </is>
      </c>
      <c r="B26" t="inlineStr">
        <is>
          <t>Primer periodo</t>
        </is>
      </c>
      <c r="C26" t="n">
        <v>24</v>
      </c>
      <c r="D26" t="n">
        <v>24</v>
      </c>
      <c r="E26" s="3" t="n">
        <v>45589</v>
      </c>
      <c r="F26" t="inlineStr">
        <is>
          <t>Iniciativa</t>
        </is>
      </c>
      <c r="G26" t="inlineStr">
        <is>
          <t>Dictamen con minuta Proyecto de decreto por el cual se reforma el párrafo cuarto y se adiciona un párrafo quinto, al artículo 28 de la Constitución Política de los Estados Unidos Mexicanos, en materia de vías y transporte ferroviario</t>
        </is>
      </c>
      <c r="H26" t="n">
        <v>0</v>
      </c>
      <c r="I26" t="inlineStr">
        <is>
          <t>11</t>
        </is>
      </c>
      <c r="J26" t="n">
        <v>40</v>
      </c>
      <c r="K26" t="n">
        <v>0</v>
      </c>
      <c r="L26" t="n">
        <v>0</v>
      </c>
      <c r="M26" t="n">
        <v>0</v>
      </c>
      <c r="N26">
        <f>SUM(J26:M26)</f>
        <v/>
      </c>
      <c r="O26" s="4">
        <f>SUM(J26:L26)/SUM(J26:M26)</f>
        <v/>
      </c>
      <c r="P26" s="5">
        <f>MAX(J26:L26)/SUM(J26:L26)</f>
        <v/>
      </c>
    </row>
    <row r="27">
      <c r="A27" t="inlineStr">
        <is>
          <t>Primer año</t>
        </is>
      </c>
      <c r="B27" t="inlineStr">
        <is>
          <t>Primer periodo</t>
        </is>
      </c>
      <c r="C27" t="n">
        <v>25</v>
      </c>
      <c r="D27" t="n">
        <v>25</v>
      </c>
      <c r="E27" s="3" t="n">
        <v>45589</v>
      </c>
      <c r="F27" t="inlineStr">
        <is>
          <t>Iniciativa</t>
        </is>
      </c>
      <c r="G27" t="inlineStr">
        <is>
          <t>Dictamen con minuta Proyecto de decreto por el cual se reforman el párrafo quinto del artículo 25, los párrafos sexto y séptimo del artículo 27 y el párrafo cuarto del artículo 28 de la Constitución Política de los Estados Unidos Mexicanos, en materia de áreas y empresas estratégicas</t>
        </is>
      </c>
      <c r="H27" t="n">
        <v>0</v>
      </c>
      <c r="I27" t="inlineStr">
        <is>
          <t>18</t>
        </is>
      </c>
      <c r="J27" t="n">
        <v>35</v>
      </c>
      <c r="K27" t="n">
        <v>5</v>
      </c>
      <c r="L27" t="n">
        <v>0</v>
      </c>
      <c r="M27" t="n">
        <v>0</v>
      </c>
      <c r="N27">
        <f>SUM(J27:M27)</f>
        <v/>
      </c>
      <c r="O27" s="4">
        <f>SUM(J27:L27)/SUM(J27:M27)</f>
        <v/>
      </c>
      <c r="P27" s="5">
        <f>MAX(J27:L27)/SUM(J27:L27)</f>
        <v/>
      </c>
    </row>
    <row r="28">
      <c r="A28" t="inlineStr">
        <is>
          <t>Primer año</t>
        </is>
      </c>
      <c r="B28" t="inlineStr">
        <is>
          <t>Primer periodo</t>
        </is>
      </c>
      <c r="C28" t="n">
        <v>26</v>
      </c>
      <c r="D28" t="n">
        <v>26</v>
      </c>
      <c r="E28" s="3" t="n">
        <v>45589</v>
      </c>
      <c r="F28" t="inlineStr">
        <is>
          <t>Punto de Acuerdo</t>
        </is>
      </c>
      <c r="G28" t="inlineStr">
        <is>
          <t>Acuerdo por el cual se propone al pleno, a la persona titular de la unidad técnica de la comisión de control, vigilancia y evaluación de la auditoría superior del estado</t>
        </is>
      </c>
      <c r="H28" t="n">
        <v>0</v>
      </c>
      <c r="I28" t="inlineStr">
        <is>
          <t>19</t>
        </is>
      </c>
      <c r="J28" t="n">
        <v>40</v>
      </c>
      <c r="K28" t="n">
        <v>0</v>
      </c>
      <c r="L28" t="n">
        <v>0</v>
      </c>
      <c r="M28" t="n">
        <v>0</v>
      </c>
      <c r="N28">
        <f>SUM(J28:M28)</f>
        <v/>
      </c>
      <c r="O28" s="4">
        <f>SUM(J28:L28)/SUM(J28:M28)</f>
        <v/>
      </c>
      <c r="P28" s="5">
        <f>MAX(J28:L28)/SUM(J28:L28)</f>
        <v/>
      </c>
    </row>
    <row r="29">
      <c r="A29" t="inlineStr">
        <is>
          <t>Primer año</t>
        </is>
      </c>
      <c r="B29" t="inlineStr">
        <is>
          <t>Primer periodo</t>
        </is>
      </c>
      <c r="C29" t="n">
        <v>27</v>
      </c>
      <c r="D29" t="n">
        <v>27</v>
      </c>
      <c r="E29" s="3" t="n">
        <v>45596</v>
      </c>
      <c r="F29" t="inlineStr">
        <is>
          <t>Iniciativa</t>
        </is>
      </c>
      <c r="G29" t="inlineStr">
        <is>
          <t>Dictamen con minuta Proyecto de decreto por el cual se reforma el artículo 107 y se adiciona un quinto párrafo al artículo 105 de la constitución política de los estados unidos mexicanos, en materia de inimpugnabilidad de las adiciones o reformas a la constitución federal</t>
        </is>
      </c>
      <c r="H29" t="n">
        <v>14</v>
      </c>
      <c r="I29" t="inlineStr">
        <is>
          <t>Justicia y Estado de Derecho</t>
        </is>
      </c>
      <c r="J29" t="n">
        <v>34</v>
      </c>
      <c r="K29" t="n">
        <v>6</v>
      </c>
      <c r="L29" t="n">
        <v>0</v>
      </c>
      <c r="M29" t="n">
        <v>1</v>
      </c>
      <c r="N29">
        <f>SUM(J29:M29)</f>
        <v/>
      </c>
      <c r="O29" s="4">
        <f>SUM(J29:L29)/SUM(J29:M29)</f>
        <v/>
      </c>
      <c r="P29" s="5">
        <f>MAX(J29:L29)/SUM(J29:L29)</f>
        <v/>
      </c>
    </row>
    <row r="30">
      <c r="A30" t="inlineStr">
        <is>
          <t>Primer año</t>
        </is>
      </c>
      <c r="B30" t="inlineStr">
        <is>
          <t>Primer periodo</t>
        </is>
      </c>
      <c r="C30" t="n">
        <v>28</v>
      </c>
      <c r="D30" t="n">
        <v>28</v>
      </c>
      <c r="E30" s="3" t="n">
        <v>45596</v>
      </c>
      <c r="F30" t="inlineStr">
        <is>
          <t>Iniciativa</t>
        </is>
      </c>
      <c r="G30" t="inlineStr">
        <is>
          <t>Dictamen con minuta Proyecto de decreto por el cual se reforman y adicionan los artículos 4o y 27 de la constitución política de los estados unidos mexicanos, en materia de bienestar</t>
        </is>
      </c>
      <c r="H30" t="n">
        <v>2</v>
      </c>
      <c r="I30" t="inlineStr">
        <is>
          <t>Pobreza y Política Social</t>
        </is>
      </c>
      <c r="J30" t="n">
        <v>40</v>
      </c>
      <c r="K30" t="n">
        <v>0</v>
      </c>
      <c r="L30" t="n">
        <v>0</v>
      </c>
      <c r="M30" t="n">
        <v>1</v>
      </c>
      <c r="N30">
        <f>SUM(J30:M30)</f>
        <v/>
      </c>
      <c r="O30" s="4">
        <f>SUM(J30:L30)/SUM(J30:M30)</f>
        <v/>
      </c>
      <c r="P30" s="5">
        <f>MAX(J30:L30)/SUM(J30:L30)</f>
        <v/>
      </c>
    </row>
    <row r="31">
      <c r="A31" t="inlineStr">
        <is>
          <t>Primer año</t>
        </is>
      </c>
      <c r="B31" t="inlineStr">
        <is>
          <t>Primer periodo</t>
        </is>
      </c>
      <c r="C31" t="n">
        <v>29</v>
      </c>
      <c r="D31" t="n">
        <v>29</v>
      </c>
      <c r="E31" s="3" t="n">
        <v>45596</v>
      </c>
      <c r="F31" t="inlineStr">
        <is>
          <t>Punto de Acuerdo</t>
        </is>
      </c>
      <c r="G31" t="inlineStr">
        <is>
          <t>Acuerdo por el cual se ratifica y nombra a la maestra Fernanda Abdeyan Godos Balderas, como secretaria general de la sexagésima segunda legislatura del honorable congreso del estado libre y soberano de</t>
        </is>
      </c>
      <c r="H31" t="n">
        <v>19</v>
      </c>
      <c r="I31" t="inlineStr">
        <is>
          <t>Internos del Congreso</t>
        </is>
      </c>
      <c r="J31" t="n">
        <v>40</v>
      </c>
      <c r="K31" t="n">
        <v>0</v>
      </c>
      <c r="L31" t="n">
        <v>0</v>
      </c>
      <c r="M31" t="n">
        <v>1</v>
      </c>
      <c r="N31">
        <f>SUM(J31:M31)</f>
        <v/>
      </c>
      <c r="O31" s="4">
        <f>SUM(J31:L31)/SUM(J31:M31)</f>
        <v/>
      </c>
      <c r="P31" s="5">
        <f>MAX(J31:L31)/SUM(J31:L31)</f>
        <v/>
      </c>
    </row>
    <row r="32">
      <c r="A32" t="inlineStr">
        <is>
          <t>Primer año</t>
        </is>
      </c>
      <c r="B32" t="inlineStr">
        <is>
          <t>Primer periodo</t>
        </is>
      </c>
      <c r="C32" t="n">
        <v>30</v>
      </c>
      <c r="D32" t="n">
        <v>30</v>
      </c>
      <c r="E32" s="3" t="n">
        <v>45596</v>
      </c>
      <c r="F32" t="inlineStr">
        <is>
          <t>Punto de Acuerdo</t>
        </is>
      </c>
      <c r="G32" t="inlineStr">
        <is>
          <t>Acuerdo que contiene la propuesta el proyecto de presupuesto anual del honorable congreso del estado libre y soberano de , así como el proyecto de presupuesto anual de la auditoría superior del estado de , ambos para el ejercicio fiscal del año dos mil veinticinco</t>
        </is>
      </c>
      <c r="H32" t="n">
        <v>7</v>
      </c>
      <c r="I32" t="inlineStr">
        <is>
          <t>Impuestos, Finanzas Públicas, Patrimonio estatal y municipal</t>
        </is>
      </c>
      <c r="J32" t="n">
        <v>40</v>
      </c>
      <c r="K32" t="n">
        <v>0</v>
      </c>
      <c r="L32" t="n">
        <v>0</v>
      </c>
      <c r="M32" t="n">
        <v>1</v>
      </c>
      <c r="N32">
        <f>SUM(J32:M32)</f>
        <v/>
      </c>
      <c r="O32" s="4">
        <f>SUM(J32:L32)/SUM(J32:M32)</f>
        <v/>
      </c>
      <c r="P32" s="5">
        <f>MAX(J32:L32)/SUM(J32:L32)</f>
        <v/>
      </c>
    </row>
    <row r="33">
      <c r="A33" t="inlineStr">
        <is>
          <t>Primer año</t>
        </is>
      </c>
      <c r="B33" t="inlineStr">
        <is>
          <t>Primer periodo</t>
        </is>
      </c>
      <c r="C33" t="n">
        <v>31</v>
      </c>
      <c r="D33" t="n">
        <v>31</v>
      </c>
      <c r="E33" s="3" t="n">
        <v>45596</v>
      </c>
      <c r="F33" t="inlineStr">
        <is>
          <t>Punto de Acuerdo</t>
        </is>
      </c>
      <c r="G33" t="inlineStr">
        <is>
          <t>Acuerdo por el que se exhorta a los doscientos quince ayuntamientos y a los dos concejos municipales en su calidad de sujetos obligados, para que, a través de sus respectivas unidades de transparencia, observen lo dispuesto en la "guía entrega recepción para los sujetos obligados en materia de transparencia, acceso a la información pública y protección de datos personales"</t>
        </is>
      </c>
      <c r="H33" t="n">
        <v>10</v>
      </c>
      <c r="I33" t="inlineStr">
        <is>
          <t>Transparencia y Rendición de Cuentas</t>
        </is>
      </c>
      <c r="J33" t="n">
        <v>40</v>
      </c>
      <c r="K33" t="n">
        <v>0</v>
      </c>
      <c r="L33" t="n">
        <v>0</v>
      </c>
      <c r="M33" t="n">
        <v>1</v>
      </c>
      <c r="N33">
        <f>SUM(J33:M33)</f>
        <v/>
      </c>
      <c r="O33" s="4">
        <f>SUM(J33:L33)/SUM(J33:M33)</f>
        <v/>
      </c>
      <c r="P33" s="5">
        <f>MAX(J33:L33)/SUM(J33:L33)</f>
        <v/>
      </c>
    </row>
    <row r="34">
      <c r="A34" t="inlineStr">
        <is>
          <t>Primer año</t>
        </is>
      </c>
      <c r="B34" t="inlineStr">
        <is>
          <t>Primer periodo</t>
        </is>
      </c>
      <c r="C34" t="n">
        <v>32</v>
      </c>
      <c r="D34" t="n">
        <v>32</v>
      </c>
      <c r="E34" s="3" t="n">
        <v>45602</v>
      </c>
      <c r="F34" t="inlineStr">
        <is>
          <t>Punto de Acuerdo</t>
        </is>
      </c>
      <c r="G34" t="inlineStr">
        <is>
          <t>Acuerdo para la elección e integración de la persona que presidirá la Comisión de Derechos Humanos del Estado</t>
        </is>
      </c>
      <c r="H34" t="n">
        <v>19</v>
      </c>
      <c r="I34" t="inlineStr">
        <is>
          <t>Internos del Congreso</t>
        </is>
      </c>
      <c r="J34" t="n">
        <v>35</v>
      </c>
      <c r="K34" t="n">
        <v>0</v>
      </c>
      <c r="L34" t="n">
        <v>0</v>
      </c>
      <c r="M34" t="n">
        <v>6</v>
      </c>
      <c r="N34">
        <f>SUM(J34:M34)</f>
        <v/>
      </c>
      <c r="O34" s="4">
        <f>SUM(J34:L34)/SUM(J34:M34)</f>
        <v/>
      </c>
      <c r="P34" s="5">
        <f>MAX(J34:L34)/SUM(J34:L34)</f>
        <v/>
      </c>
    </row>
    <row r="35">
      <c r="A35" t="inlineStr">
        <is>
          <t>Primer año</t>
        </is>
      </c>
      <c r="B35" t="inlineStr">
        <is>
          <t>Primer periodo</t>
        </is>
      </c>
      <c r="C35" t="n">
        <v>33</v>
      </c>
      <c r="D35" t="n">
        <v>33</v>
      </c>
      <c r="E35" s="3" t="n">
        <v>45602</v>
      </c>
      <c r="F35" t="inlineStr">
        <is>
          <t>Iniciativa</t>
        </is>
      </c>
      <c r="G35" t="inlineStr">
        <is>
          <t>Dictamen con minuta de decreto por el cual se reforma el artículo primero del decreto por el que se instituye la “Medalla Ángeles Espinosa Yglesias”</t>
        </is>
      </c>
      <c r="H35" t="n">
        <v>8</v>
      </c>
      <c r="I35" t="inlineStr">
        <is>
          <t>Educación y Cultura</t>
        </is>
      </c>
      <c r="J35" t="n">
        <v>40</v>
      </c>
      <c r="K35" t="n">
        <v>0</v>
      </c>
      <c r="L35" t="n">
        <v>0</v>
      </c>
      <c r="M35" t="n">
        <v>0</v>
      </c>
      <c r="N35">
        <f>SUM(J35:M35)</f>
        <v/>
      </c>
      <c r="O35" s="4">
        <f>SUM(J35:L35)/SUM(J35:M35)</f>
        <v/>
      </c>
      <c r="P35" s="5">
        <f>MAX(J35:L35)/SUM(J35:L35)</f>
        <v/>
      </c>
    </row>
    <row r="36">
      <c r="A36" t="inlineStr">
        <is>
          <t>Primer año</t>
        </is>
      </c>
      <c r="B36" t="inlineStr">
        <is>
          <t>Primer periodo</t>
        </is>
      </c>
      <c r="C36" t="n">
        <v>34</v>
      </c>
      <c r="D36" t="n">
        <v>34</v>
      </c>
      <c r="E36" s="3" t="n">
        <v>45610</v>
      </c>
      <c r="F36" t="inlineStr">
        <is>
          <t>Iniciativa</t>
        </is>
      </c>
      <c r="G36" t="inlineStr">
        <is>
          <t>Dictamen con minuta Proyecto de decreto por el cual se reforma y adiciona la fracción XII del apartado A del artículo 123 de la constitución política de los estados unidos mexicanos, en materia de vivienda para las personas trabajadoras</t>
        </is>
      </c>
      <c r="H36" t="n">
        <v>16</v>
      </c>
      <c r="I36" t="inlineStr">
        <is>
          <t>Trabajo y Previsión Social</t>
        </is>
      </c>
      <c r="J36" t="n">
        <v>41</v>
      </c>
      <c r="K36" t="n">
        <v>0</v>
      </c>
      <c r="L36" t="n">
        <v>0</v>
      </c>
      <c r="M36" t="n">
        <v>0</v>
      </c>
      <c r="N36">
        <f>SUM(J36:M36)</f>
        <v/>
      </c>
      <c r="O36" s="4">
        <f>SUM(J36:L36)/SUM(J36:M36)</f>
        <v/>
      </c>
      <c r="P36" s="5">
        <f>MAX(J36:L36)/SUM(J36:L36)</f>
        <v/>
      </c>
    </row>
    <row r="37">
      <c r="A37" t="inlineStr">
        <is>
          <t>Primer año</t>
        </is>
      </c>
      <c r="B37" t="inlineStr">
        <is>
          <t>Primer periodo</t>
        </is>
      </c>
      <c r="C37" t="n">
        <v>35</v>
      </c>
      <c r="D37" t="n">
        <v>35</v>
      </c>
      <c r="E37" s="3" t="n">
        <v>45610</v>
      </c>
      <c r="F37" t="inlineStr">
        <is>
          <t>Iniciativa</t>
        </is>
      </c>
      <c r="G37" t="inlineStr">
        <is>
          <t>Dictamen con minuta Proyecto de decreto por el cual se reforman y adicionan los artículos 4o., 21, 41, 73, 116, 122 y 123 de la constitución política de los estados unidos mexicanos, en materia de igualdad sustantiva, perspectiva de género, derecho de las mujeres a una vida libre de violencia y erradicación de la brecha salarial por razones de género</t>
        </is>
      </c>
      <c r="H37" t="n">
        <v>20</v>
      </c>
      <c r="I37" t="inlineStr">
        <is>
          <t>Justicia y Estado de Derecho en temas de Mujeres</t>
        </is>
      </c>
      <c r="J37" t="n">
        <v>41</v>
      </c>
      <c r="K37" t="n">
        <v>0</v>
      </c>
      <c r="L37" t="n">
        <v>0</v>
      </c>
      <c r="M37" t="n">
        <v>0</v>
      </c>
      <c r="N37">
        <f>SUM(J37:M37)</f>
        <v/>
      </c>
      <c r="O37" s="4">
        <f>SUM(J37:L37)/SUM(J37:M37)</f>
        <v/>
      </c>
      <c r="P37" s="5">
        <f>MAX(J37:L37)/SUM(J37:L37)</f>
        <v/>
      </c>
    </row>
    <row r="38">
      <c r="A38" t="inlineStr">
        <is>
          <t>Primer año</t>
        </is>
      </c>
      <c r="B38" t="inlineStr">
        <is>
          <t>Primer periodo</t>
        </is>
      </c>
      <c r="C38" t="n">
        <v>36</v>
      </c>
      <c r="D38" t="n">
        <v>36</v>
      </c>
      <c r="E38" s="3" t="n">
        <v>45617</v>
      </c>
      <c r="F38" t="inlineStr">
        <is>
          <t>Punto de Acuerdo</t>
        </is>
      </c>
      <c r="G38" t="inlineStr">
        <is>
          <t>Acuerdo por el cual se habilita el inmueble ubicado en avenida 32 oriente número 202, colonia mártires del trabajo, de esta ciudad de , , como recinto oficial para el desarrollo de la sesión solemne de la sexagésima segunda legislatura del honorable congreso del estado, el día veintidós de noviembre del presente año, en la que se desahogará el informe de gobierno del titular del poder ejecutivo del estado</t>
        </is>
      </c>
      <c r="H38" t="n">
        <v>18</v>
      </c>
      <c r="I38" t="inlineStr">
        <is>
          <t>Administración Pública</t>
        </is>
      </c>
      <c r="J38" t="n">
        <v>41</v>
      </c>
      <c r="K38" t="n">
        <v>0</v>
      </c>
      <c r="L38" t="n">
        <v>0</v>
      </c>
      <c r="M38" t="n">
        <v>0</v>
      </c>
      <c r="N38">
        <f>SUM(J38:M38)</f>
        <v/>
      </c>
      <c r="O38" s="4">
        <f>SUM(J38:L38)/SUM(J38:M38)</f>
        <v/>
      </c>
      <c r="P38" s="5">
        <f>MAX(J38:L38)/SUM(J38:L38)</f>
        <v/>
      </c>
    </row>
    <row r="39">
      <c r="A39" t="inlineStr">
        <is>
          <t>Primer año</t>
        </is>
      </c>
      <c r="B39" t="inlineStr">
        <is>
          <t>Primer periodo</t>
        </is>
      </c>
      <c r="C39" t="n">
        <v>37</v>
      </c>
      <c r="D39" t="n">
        <v>37</v>
      </c>
      <c r="E39" s="3" t="n">
        <v>45624</v>
      </c>
      <c r="F39" t="inlineStr">
        <is>
          <t>Punto de Acuerdo</t>
        </is>
      </c>
      <c r="G39" t="inlineStr">
        <is>
          <t>Acuerdo por el cual concede licencia al ciudadano José Luis García Parra para separarse del cargo de diputado local por tiempo indefinido mayor a treinta días</t>
        </is>
      </c>
      <c r="H39" t="n">
        <v>18</v>
      </c>
      <c r="I39" t="inlineStr">
        <is>
          <t>Administración Pública</t>
        </is>
      </c>
      <c r="J39" t="n">
        <v>38</v>
      </c>
      <c r="K39" t="n">
        <v>0</v>
      </c>
      <c r="L39" t="n">
        <v>0</v>
      </c>
      <c r="M39" t="n">
        <v>0</v>
      </c>
      <c r="N39">
        <f>SUM(J39:M39)</f>
        <v/>
      </c>
      <c r="O39" s="4">
        <f>SUM(J39:L39)/SUM(J39:M39)</f>
        <v/>
      </c>
      <c r="P39" s="5">
        <f>MAX(J39:L39)/SUM(J39:L39)</f>
        <v/>
      </c>
    </row>
    <row r="40">
      <c r="A40" t="inlineStr">
        <is>
          <t>Primer año</t>
        </is>
      </c>
      <c r="B40" t="inlineStr">
        <is>
          <t>Primer periodo</t>
        </is>
      </c>
      <c r="C40" t="n">
        <v>38</v>
      </c>
      <c r="D40" t="n">
        <v>38</v>
      </c>
      <c r="E40" s="3" t="n">
        <v>45624</v>
      </c>
      <c r="F40" t="inlineStr">
        <is>
          <t>Punto de Acuerdo</t>
        </is>
      </c>
      <c r="G40" t="inlineStr">
        <is>
          <t>Acuerdo por el cual se aprueba la licencia por tiempo indeterminado al magistrado José Octavio Pérez Nava al cargo de magistrado propietario del honorable tribunal superior de justicia del estado</t>
        </is>
      </c>
      <c r="H40" t="n">
        <v>18</v>
      </c>
      <c r="I40" t="inlineStr">
        <is>
          <t>Administración Pública</t>
        </is>
      </c>
      <c r="J40" t="n">
        <v>39</v>
      </c>
      <c r="K40" t="n">
        <v>0</v>
      </c>
      <c r="L40" t="n">
        <v>0</v>
      </c>
      <c r="M40" t="n">
        <v>0</v>
      </c>
      <c r="N40">
        <f>SUM(J40:M40)</f>
        <v/>
      </c>
      <c r="O40" s="4">
        <f>SUM(J40:L40)/SUM(J40:M40)</f>
        <v/>
      </c>
      <c r="P40" s="5">
        <f>MAX(J40:L40)/SUM(J40:L40)</f>
        <v/>
      </c>
    </row>
    <row r="41">
      <c r="A41" t="inlineStr">
        <is>
          <t>Primer año</t>
        </is>
      </c>
      <c r="B41" t="inlineStr">
        <is>
          <t>Primer periodo</t>
        </is>
      </c>
      <c r="C41" t="n">
        <v>39</v>
      </c>
      <c r="D41" t="n">
        <v>39</v>
      </c>
      <c r="E41" s="3" t="n">
        <v>45624</v>
      </c>
      <c r="F41" t="inlineStr">
        <is>
          <t>Iniciativa</t>
        </is>
      </c>
      <c r="G41" t="inlineStr">
        <is>
          <t>Dictamen con minuta de decreto por el cual se desecha la proposición reformatoria al artículo 26 del dictamen con minuta de ley de ingresos del estado para el ejercicio fiscal dos mil veinticinco</t>
        </is>
      </c>
      <c r="H41" t="n">
        <v>7</v>
      </c>
      <c r="I41" t="inlineStr">
        <is>
          <t>Impuestos, Finanzas Públicas, Patrimonio estatal y municipal</t>
        </is>
      </c>
      <c r="J41" t="n">
        <v>7</v>
      </c>
      <c r="K41" t="n">
        <v>27</v>
      </c>
      <c r="L41" t="n">
        <v>2</v>
      </c>
      <c r="M41" t="n">
        <v>0</v>
      </c>
      <c r="N41">
        <f>SUM(J41:M41)</f>
        <v/>
      </c>
      <c r="O41" s="4">
        <f>SUM(J41:L41)/SUM(J41:M41)</f>
        <v/>
      </c>
      <c r="P41" s="5">
        <f>MAX(J41:L41)/SUM(J41:L41)</f>
        <v/>
      </c>
    </row>
    <row r="42">
      <c r="A42" t="inlineStr">
        <is>
          <t>Primer año</t>
        </is>
      </c>
      <c r="B42" t="inlineStr">
        <is>
          <t>Primer periodo</t>
        </is>
      </c>
      <c r="C42" t="n">
        <v>40</v>
      </c>
      <c r="D42" t="n">
        <v>40</v>
      </c>
      <c r="E42" s="3" t="n">
        <v>45624</v>
      </c>
      <c r="F42" t="inlineStr">
        <is>
          <t>Iniciativa</t>
        </is>
      </c>
      <c r="G42" t="inlineStr">
        <is>
          <t>Dictamen con minuta de decreto por el cual se aprueba la proposición adicional a la fracción I del artículo 26 del dictamen con minuta de ley de ingresos del estado para el ejercicio fiscal dos mil veinticinco</t>
        </is>
      </c>
      <c r="H42" t="n">
        <v>7</v>
      </c>
      <c r="I42" t="inlineStr">
        <is>
          <t>Impuestos, Finanzas Públicas, Patrimonio estatal y municipal</t>
        </is>
      </c>
      <c r="J42" t="n">
        <v>40</v>
      </c>
      <c r="K42" t="n">
        <v>0</v>
      </c>
      <c r="L42" t="n">
        <v>0</v>
      </c>
      <c r="M42" t="n">
        <v>0</v>
      </c>
      <c r="N42">
        <f>SUM(J42:M42)</f>
        <v/>
      </c>
      <c r="O42" s="4">
        <f>SUM(J42:L42)/SUM(J42:M42)</f>
        <v/>
      </c>
      <c r="P42" s="5">
        <f>MAX(J42:L42)/SUM(J42:L42)</f>
        <v/>
      </c>
    </row>
    <row r="43">
      <c r="A43" t="inlineStr">
        <is>
          <t>Primer año</t>
        </is>
      </c>
      <c r="B43" t="inlineStr">
        <is>
          <t>Primer periodo</t>
        </is>
      </c>
      <c r="C43" t="n">
        <v>41</v>
      </c>
      <c r="D43" t="n">
        <v>41</v>
      </c>
      <c r="E43" s="3" t="n">
        <v>45624</v>
      </c>
      <c r="F43" t="inlineStr">
        <is>
          <t>Iniciativa</t>
        </is>
      </c>
      <c r="G43" t="inlineStr">
        <is>
          <t>Dictamen con minuta de decreto por el cual se aprueba el dictamen con minuta de ley de ingresos del estado para el ejercicio fiscal dos mil veinticinco</t>
        </is>
      </c>
      <c r="H43" t="n">
        <v>7</v>
      </c>
      <c r="I43" t="inlineStr">
        <is>
          <t>Impuestos, Finanzas Públicas, Patrimonio estatal y municipal</t>
        </is>
      </c>
      <c r="J43" t="n">
        <v>40</v>
      </c>
      <c r="K43" t="n">
        <v>0</v>
      </c>
      <c r="L43" t="n">
        <v>0</v>
      </c>
      <c r="M43" t="n">
        <v>0</v>
      </c>
      <c r="N43">
        <f>SUM(J43:M43)</f>
        <v/>
      </c>
      <c r="O43" s="4">
        <f>SUM(J43:L43)/SUM(J43:M43)</f>
        <v/>
      </c>
      <c r="P43" s="5">
        <f>MAX(J43:L43)/SUM(J43:L43)</f>
        <v/>
      </c>
    </row>
    <row r="44">
      <c r="A44" t="inlineStr">
        <is>
          <t>Primer año</t>
        </is>
      </c>
      <c r="B44" t="inlineStr">
        <is>
          <t>Primer periodo</t>
        </is>
      </c>
      <c r="C44" t="n">
        <v>42</v>
      </c>
      <c r="D44" t="n">
        <v>42</v>
      </c>
      <c r="E44" s="3" t="n">
        <v>45624</v>
      </c>
      <c r="F44" t="inlineStr">
        <is>
          <t>Iniciativa</t>
        </is>
      </c>
      <c r="G44" t="inlineStr">
        <is>
          <t>Dictamen con minuta de decreto por el cual se aprueban las leyes de ingresos municipales para el ejercicio fiscal dos mil veinticinco y las tablas de valores catastrales</t>
        </is>
      </c>
      <c r="H44" t="n">
        <v>7</v>
      </c>
      <c r="I44" t="inlineStr">
        <is>
          <t>Impuestos, Finanzas Públicas, Patrimonio estatal y municipal</t>
        </is>
      </c>
      <c r="J44" t="n">
        <v>40</v>
      </c>
      <c r="K44" t="n">
        <v>0</v>
      </c>
      <c r="L44" t="n">
        <v>0</v>
      </c>
      <c r="M44" t="n">
        <v>0</v>
      </c>
      <c r="N44">
        <f>SUM(J44:M44)</f>
        <v/>
      </c>
      <c r="O44" s="4">
        <f>SUM(J44:L44)/SUM(J44:M44)</f>
        <v/>
      </c>
      <c r="P44" s="5">
        <f>MAX(J44:L44)/SUM(J44:L44)</f>
        <v/>
      </c>
    </row>
    <row r="45">
      <c r="A45" t="inlineStr">
        <is>
          <t>Primer año</t>
        </is>
      </c>
      <c r="B45" t="inlineStr">
        <is>
          <t>Primer periodo</t>
        </is>
      </c>
      <c r="C45" t="n">
        <v>43</v>
      </c>
      <c r="D45" t="n">
        <v>43</v>
      </c>
      <c r="E45" s="3" t="n">
        <v>45624</v>
      </c>
      <c r="F45" t="inlineStr">
        <is>
          <t>Iniciativa</t>
        </is>
      </c>
      <c r="G45" t="inlineStr">
        <is>
          <t>Dictamen con minuta de decreto por el cual se aprueba la expedición de la ley orgánica de la administración pública del estado</t>
        </is>
      </c>
      <c r="H45" t="n">
        <v>18</v>
      </c>
      <c r="I45" t="inlineStr">
        <is>
          <t>Administración Pública</t>
        </is>
      </c>
      <c r="J45" t="n">
        <v>41</v>
      </c>
      <c r="K45" t="n">
        <v>0</v>
      </c>
      <c r="L45" t="n">
        <v>0</v>
      </c>
      <c r="M45" t="n">
        <v>0</v>
      </c>
      <c r="N45">
        <f>SUM(J45:M45)</f>
        <v/>
      </c>
      <c r="O45" s="4">
        <f>SUM(J45:L45)/SUM(J45:M45)</f>
        <v/>
      </c>
      <c r="P45" s="5">
        <f>MAX(J45:L45)/SUM(J45:L45)</f>
        <v/>
      </c>
    </row>
    <row r="46">
      <c r="A46" t="inlineStr">
        <is>
          <t>Primer año</t>
        </is>
      </c>
      <c r="B46" t="inlineStr">
        <is>
          <t>Primer periodo</t>
        </is>
      </c>
      <c r="C46" t="n">
        <v>44</v>
      </c>
      <c r="D46" t="n">
        <v>44</v>
      </c>
      <c r="E46" s="3" t="n">
        <v>45624</v>
      </c>
      <c r="F46" t="inlineStr">
        <is>
          <t>Iniciativa</t>
        </is>
      </c>
      <c r="G46" t="inlineStr">
        <is>
          <t>Dictamen con minuta de decreto por el cual se aprueba la reforma y adición al artículo 21 de la constitución política en materia de seguridad pública</t>
        </is>
      </c>
      <c r="H46" t="n">
        <v>3</v>
      </c>
      <c r="I46" t="inlineStr">
        <is>
          <t>Seguridad Pública, Protección Civil y Narcotráfico</t>
        </is>
      </c>
      <c r="J46" t="n">
        <v>41</v>
      </c>
      <c r="K46" t="n">
        <v>0</v>
      </c>
      <c r="L46" t="n">
        <v>0</v>
      </c>
      <c r="M46" t="n">
        <v>0</v>
      </c>
      <c r="N46">
        <f>SUM(J46:M46)</f>
        <v/>
      </c>
      <c r="O46" s="4">
        <f>SUM(J46:L46)/SUM(J46:M46)</f>
        <v/>
      </c>
      <c r="P46" s="5">
        <f>MAX(J46:L46)/SUM(J46:L46)</f>
        <v/>
      </c>
    </row>
    <row r="47">
      <c r="A47" t="inlineStr">
        <is>
          <t>Primer año</t>
        </is>
      </c>
      <c r="B47" t="inlineStr">
        <is>
          <t>Primer periodo</t>
        </is>
      </c>
      <c r="C47" t="n">
        <v>45</v>
      </c>
      <c r="D47" t="n">
        <v>45</v>
      </c>
      <c r="E47" s="3" t="n">
        <v>45624</v>
      </c>
      <c r="F47" t="inlineStr">
        <is>
          <t>Iniciativa</t>
        </is>
      </c>
      <c r="G47" t="inlineStr">
        <is>
          <t>Dictamen con minuta de decreto por el cual se aprueba la reforma y adición a los artículos 3, 4 y 73 de la constitución política en materia de protección y cuidado animal</t>
        </is>
      </c>
      <c r="H47" t="n">
        <v>5</v>
      </c>
      <c r="I47" t="inlineStr">
        <is>
          <t>Medio Ambiente</t>
        </is>
      </c>
      <c r="J47" t="n">
        <v>41</v>
      </c>
      <c r="K47" t="n">
        <v>0</v>
      </c>
      <c r="L47" t="n">
        <v>0</v>
      </c>
      <c r="M47" t="n">
        <v>0</v>
      </c>
      <c r="N47">
        <f>SUM(J47:M47)</f>
        <v/>
      </c>
      <c r="O47" s="4">
        <f>SUM(J47:L47)/SUM(J47:M47)</f>
        <v/>
      </c>
      <c r="P47" s="5">
        <f>MAX(J47:L47)/SUM(J47:L47)</f>
        <v/>
      </c>
    </row>
    <row r="48">
      <c r="A48" t="inlineStr">
        <is>
          <t>Primer año</t>
        </is>
      </c>
      <c r="B48" t="inlineStr">
        <is>
          <t>Primer periodo</t>
        </is>
      </c>
      <c r="C48" t="n">
        <v>46</v>
      </c>
      <c r="D48" t="n">
        <v>46</v>
      </c>
      <c r="E48" s="3" t="n">
        <v>45624</v>
      </c>
      <c r="F48" t="inlineStr">
        <is>
          <t>Iniciativa</t>
        </is>
      </c>
      <c r="G48" t="inlineStr">
        <is>
          <t>Dictamen con minuta de decreto por el cual se aprueba la reforma y derogación de diversas disposiciones de la ley de imagen institucional del estado</t>
        </is>
      </c>
      <c r="H48" t="n">
        <v>18</v>
      </c>
      <c r="I48" t="inlineStr">
        <is>
          <t>Administración Pública</t>
        </is>
      </c>
      <c r="J48" t="n">
        <v>33</v>
      </c>
      <c r="K48" t="n">
        <v>0</v>
      </c>
      <c r="L48" t="n">
        <v>8</v>
      </c>
      <c r="M48" t="n">
        <v>0</v>
      </c>
      <c r="N48">
        <f>SUM(J48:M48)</f>
        <v/>
      </c>
      <c r="O48" s="4">
        <f>SUM(J48:L48)/SUM(J48:M48)</f>
        <v/>
      </c>
      <c r="P48" s="5">
        <f>MAX(J48:L48)/SUM(J48:L48)</f>
        <v/>
      </c>
    </row>
    <row r="49">
      <c r="A49" t="inlineStr">
        <is>
          <t>Primer año</t>
        </is>
      </c>
      <c r="B49" t="inlineStr">
        <is>
          <t>Primer periodo</t>
        </is>
      </c>
      <c r="C49" t="n">
        <v>47</v>
      </c>
      <c r="D49" t="n">
        <v>47</v>
      </c>
      <c r="E49" s="3" t="n">
        <v>45631</v>
      </c>
      <c r="F49" t="inlineStr">
        <is>
          <t>Punto de Acuerdo</t>
        </is>
      </c>
      <c r="G49" t="inlineStr">
        <is>
          <t>Acuerdo por el cual la elección y nombramiento de dos magistraturas del Tribunal Superior de Justicia</t>
        </is>
      </c>
      <c r="H49" t="n">
        <v>14</v>
      </c>
      <c r="I49" t="inlineStr">
        <is>
          <t>Justicia y Estado de Derecho</t>
        </is>
      </c>
      <c r="J49" t="n">
        <v>33</v>
      </c>
      <c r="K49" t="n">
        <v>0</v>
      </c>
      <c r="L49" t="n">
        <v>5</v>
      </c>
      <c r="M49" t="n">
        <v>3</v>
      </c>
      <c r="N49">
        <f>SUM(J49:M49)</f>
        <v/>
      </c>
      <c r="O49" s="4">
        <f>SUM(J49:L49)/SUM(J49:M49)</f>
        <v/>
      </c>
      <c r="P49" s="5">
        <f>MAX(J49:L49)/SUM(J49:L49)</f>
        <v/>
      </c>
    </row>
    <row r="50">
      <c r="A50" t="inlineStr">
        <is>
          <t>Primer año</t>
        </is>
      </c>
      <c r="B50" t="inlineStr">
        <is>
          <t>Primer periodo</t>
        </is>
      </c>
      <c r="C50" t="n">
        <v>48</v>
      </c>
      <c r="D50" t="n">
        <v>48</v>
      </c>
      <c r="E50" s="3" t="n">
        <v>45631</v>
      </c>
      <c r="F50" t="inlineStr">
        <is>
          <t>Punto de Acuerdo</t>
        </is>
      </c>
      <c r="G50" t="inlineStr">
        <is>
          <t>Acuerdo por el cual la elección y nombramiento de un magistrado del Tribunal de Justicia Administrativa</t>
        </is>
      </c>
      <c r="H50" t="n">
        <v>14</v>
      </c>
      <c r="I50" t="inlineStr">
        <is>
          <t>Justicia y Estado de Derecho</t>
        </is>
      </c>
      <c r="J50" t="n">
        <v>32</v>
      </c>
      <c r="K50" t="n">
        <v>0</v>
      </c>
      <c r="L50" t="n">
        <v>6</v>
      </c>
      <c r="M50" t="n">
        <v>3</v>
      </c>
      <c r="N50">
        <f>SUM(J50:M50)</f>
        <v/>
      </c>
      <c r="O50" s="4">
        <f>SUM(J50:L50)/SUM(J50:M50)</f>
        <v/>
      </c>
      <c r="P50" s="5">
        <f>MAX(J50:L50)/SUM(J50:L50)</f>
        <v/>
      </c>
    </row>
    <row r="51">
      <c r="A51" t="inlineStr">
        <is>
          <t>Primer año</t>
        </is>
      </c>
      <c r="B51" t="inlineStr">
        <is>
          <t>Primer periodo</t>
        </is>
      </c>
      <c r="C51" t="n">
        <v>49</v>
      </c>
      <c r="D51" t="n">
        <v>49</v>
      </c>
      <c r="E51" s="3" t="n">
        <v>45631</v>
      </c>
      <c r="F51" t="inlineStr">
        <is>
          <t>Iniciativa</t>
        </is>
      </c>
      <c r="G51" t="inlineStr">
        <is>
          <t>Dictamen con minuta de decreto por el cual se reforma el párrafo segundo del artículo 19 de la Constitución Política en materia de prisión preventiva oficiosa</t>
        </is>
      </c>
      <c r="H51" t="n">
        <v>14</v>
      </c>
      <c r="I51" t="inlineStr">
        <is>
          <t>Justicia y Estado de Derecho</t>
        </is>
      </c>
      <c r="J51" t="n">
        <v>32</v>
      </c>
      <c r="K51" t="n">
        <v>6</v>
      </c>
      <c r="L51" t="n">
        <v>0</v>
      </c>
      <c r="M51" t="n">
        <v>3</v>
      </c>
      <c r="N51">
        <f>SUM(J51:M51)</f>
        <v/>
      </c>
      <c r="O51" s="4">
        <f>SUM(J51:L51)/SUM(J51:M51)</f>
        <v/>
      </c>
      <c r="P51" s="5">
        <f>MAX(J51:L51)/SUM(J51:L51)</f>
        <v/>
      </c>
    </row>
    <row r="52">
      <c r="A52" t="inlineStr">
        <is>
          <t>Primer año</t>
        </is>
      </c>
      <c r="B52" t="inlineStr">
        <is>
          <t>Primer periodo</t>
        </is>
      </c>
      <c r="C52" t="n">
        <v>50</v>
      </c>
      <c r="D52" t="n">
        <v>50</v>
      </c>
      <c r="E52" s="3" t="n">
        <v>45631</v>
      </c>
      <c r="F52" t="inlineStr">
        <is>
          <t>Iniciativa</t>
        </is>
      </c>
      <c r="G52" t="inlineStr">
        <is>
          <t>Dictamen con minuta de decreto por el cual se reforman, adicionan y derogan diversas disposiciones de la Constitución Política en materia de simplificación orgánica</t>
        </is>
      </c>
      <c r="H52" t="n">
        <v>18</v>
      </c>
      <c r="I52" t="inlineStr">
        <is>
          <t>Administración Pública</t>
        </is>
      </c>
      <c r="J52" t="n">
        <v>33</v>
      </c>
      <c r="K52" t="n">
        <v>6</v>
      </c>
      <c r="L52" t="n">
        <v>0</v>
      </c>
      <c r="M52" t="n">
        <v>2</v>
      </c>
      <c r="N52">
        <f>SUM(J52:M52)</f>
        <v/>
      </c>
      <c r="O52" s="4">
        <f>SUM(J52:L52)/SUM(J52:M52)</f>
        <v/>
      </c>
      <c r="P52" s="5">
        <f>MAX(J52:L52)/SUM(J52:L52)</f>
        <v/>
      </c>
    </row>
    <row r="53">
      <c r="A53" t="inlineStr">
        <is>
          <t>Primer año</t>
        </is>
      </c>
      <c r="B53" t="inlineStr">
        <is>
          <t>Primer periodo</t>
        </is>
      </c>
      <c r="C53" t="n">
        <v>51</v>
      </c>
      <c r="D53" t="n">
        <v>51</v>
      </c>
      <c r="E53" s="3" t="n">
        <v>45631</v>
      </c>
      <c r="F53" t="inlineStr">
        <is>
          <t>Iniciativa</t>
        </is>
      </c>
      <c r="G53" t="inlineStr">
        <is>
          <t>Dictamen con minuta de decreto por el cual se expiden las leyes de ingresos municipales para el ejercicio fiscal dos mil veinticinco y la zonificación catastral</t>
        </is>
      </c>
      <c r="H53" t="n">
        <v>7</v>
      </c>
      <c r="I53" t="inlineStr">
        <is>
          <t>Impuestos, Finanzas Públicas, Patrimonio estatal y municipal</t>
        </is>
      </c>
      <c r="J53" t="n">
        <v>39</v>
      </c>
      <c r="K53" t="n">
        <v>0</v>
      </c>
      <c r="L53" t="n">
        <v>0</v>
      </c>
      <c r="M53" t="n">
        <v>2</v>
      </c>
      <c r="N53">
        <f>SUM(J53:M53)</f>
        <v/>
      </c>
      <c r="O53" s="4">
        <f>SUM(J53:L53)/SUM(J53:M53)</f>
        <v/>
      </c>
      <c r="P53" s="5">
        <f>MAX(J53:L53)/SUM(J53:L53)</f>
        <v/>
      </c>
    </row>
    <row r="54">
      <c r="A54" t="inlineStr">
        <is>
          <t>Primer año</t>
        </is>
      </c>
      <c r="B54" t="inlineStr">
        <is>
          <t>Primer periodo</t>
        </is>
      </c>
      <c r="C54" t="n">
        <v>52</v>
      </c>
      <c r="D54" t="n">
        <v>52</v>
      </c>
      <c r="E54" s="3" t="n">
        <v>45638</v>
      </c>
      <c r="F54" t="inlineStr">
        <is>
          <t>Punto de Acuerdo</t>
        </is>
      </c>
      <c r="G54" t="inlineStr">
        <is>
          <t>Acuerdo por el cual la habilitación del inmueble ubicado en avenida 32 oriente 202, colonia mártires del trabajo, de la ciudad de, , como recinto oficial para el desarrollo de la sesión solemne, el día catorce de diciembre del presente año, en la que el ciudadano Alejandro Armenta Mier, prestará la protesta constitucional como gobernador del estado</t>
        </is>
      </c>
      <c r="H54" t="n">
        <v>18</v>
      </c>
      <c r="I54" t="inlineStr">
        <is>
          <t>Administración Pública</t>
        </is>
      </c>
      <c r="J54" t="n">
        <v>41</v>
      </c>
      <c r="K54" t="n">
        <v>0</v>
      </c>
      <c r="L54" t="n">
        <v>0</v>
      </c>
      <c r="M54" t="n">
        <v>0</v>
      </c>
      <c r="N54">
        <f>SUM(J54:M54)</f>
        <v/>
      </c>
      <c r="O54" s="4">
        <f>SUM(J54:L54)/SUM(J54:M54)</f>
        <v/>
      </c>
      <c r="P54" s="5">
        <f>MAX(J54:L54)/SUM(J54:L54)</f>
        <v/>
      </c>
    </row>
    <row r="55">
      <c r="A55" t="inlineStr">
        <is>
          <t>Primer año</t>
        </is>
      </c>
      <c r="B55" t="inlineStr">
        <is>
          <t>Primer periodo</t>
        </is>
      </c>
      <c r="C55" t="n">
        <v>53</v>
      </c>
      <c r="D55" t="n">
        <v>53</v>
      </c>
      <c r="E55" s="3" t="n">
        <v>45638</v>
      </c>
      <c r="F55" t="inlineStr">
        <is>
          <t>Punto de Acuerdo</t>
        </is>
      </c>
      <c r="G55" t="inlineStr">
        <is>
          <t>Acuerdo por el cual se concede licencia al ciudadano José Samuel Aguilar Pala, para separarse del cargo de diputado local de la sexagésima segunda legislatura por tiempo indefinido mayor a treinta días, a partir del trece de diciembre del año en curso</t>
        </is>
      </c>
      <c r="H55" t="n">
        <v>19</v>
      </c>
      <c r="I55" t="inlineStr">
        <is>
          <t>Internos del Congreso</t>
        </is>
      </c>
      <c r="J55" t="n">
        <v>41</v>
      </c>
      <c r="K55" t="n">
        <v>0</v>
      </c>
      <c r="L55" t="n">
        <v>0</v>
      </c>
      <c r="M55" t="n">
        <v>0</v>
      </c>
      <c r="N55">
        <f>SUM(J55:M55)</f>
        <v/>
      </c>
      <c r="O55" s="4">
        <f>SUM(J55:L55)/SUM(J55:M55)</f>
        <v/>
      </c>
      <c r="P55" s="5">
        <f>MAX(J55:L55)/SUM(J55:L55)</f>
        <v/>
      </c>
    </row>
    <row r="56">
      <c r="A56" t="inlineStr">
        <is>
          <t>Primer año</t>
        </is>
      </c>
      <c r="B56" t="inlineStr">
        <is>
          <t>Primer periodo</t>
        </is>
      </c>
      <c r="C56" t="n">
        <v>54</v>
      </c>
      <c r="D56" t="n">
        <v>54</v>
      </c>
      <c r="E56" s="3" t="n">
        <v>45638</v>
      </c>
      <c r="F56" t="inlineStr">
        <is>
          <t>Iniciativa</t>
        </is>
      </c>
      <c r="G56" t="inlineStr">
        <is>
          <t>Dictamen con minuta de decreto por el cual el dictamen con minuta de ley de egresos del estado de para el ejercicio fiscal dos mil veinticinco</t>
        </is>
      </c>
      <c r="H56" t="n">
        <v>7</v>
      </c>
      <c r="I56" t="inlineStr">
        <is>
          <t>Impuestos, Finanzas Públicas, Patrimonio estatal y municipal</t>
        </is>
      </c>
      <c r="J56" t="n">
        <v>41</v>
      </c>
      <c r="K56" t="n">
        <v>0</v>
      </c>
      <c r="L56" t="n">
        <v>0</v>
      </c>
      <c r="M56" t="n">
        <v>0</v>
      </c>
      <c r="N56">
        <f>SUM(J56:M56)</f>
        <v/>
      </c>
      <c r="O56" s="4">
        <f>SUM(J56:L56)/SUM(J56:M56)</f>
        <v/>
      </c>
      <c r="P56" s="5">
        <f>MAX(J56:L56)/SUM(J56:L56)</f>
        <v/>
      </c>
    </row>
    <row r="57">
      <c r="A57" t="inlineStr">
        <is>
          <t>Primer año</t>
        </is>
      </c>
      <c r="B57" t="inlineStr">
        <is>
          <t>Primer periodo</t>
        </is>
      </c>
      <c r="C57" t="n">
        <v>55</v>
      </c>
      <c r="D57" t="n">
        <v>55</v>
      </c>
      <c r="E57" s="3" t="n">
        <v>45638</v>
      </c>
      <c r="F57" t="inlineStr">
        <is>
          <t>Iniciativa</t>
        </is>
      </c>
      <c r="G57" t="inlineStr">
        <is>
          <t>Dictamen con minuta de decreto por el cual el dictamen con minuta de decreto por el que se expide la ley de ingresos del municipio de , para el ejercicio fiscal 2025; y la zonificación catastral y tablas de valores unitarios de suelos urbanos y rústicos, así como los valores catastrales de construcción por metro cuadrado</t>
        </is>
      </c>
      <c r="H57" t="n">
        <v>7</v>
      </c>
      <c r="I57" t="inlineStr">
        <is>
          <t>Impuestos, Finanzas Públicas, Patrimonio estatal y municipal</t>
        </is>
      </c>
      <c r="J57" t="n">
        <v>41</v>
      </c>
      <c r="K57" t="n">
        <v>0</v>
      </c>
      <c r="L57" t="n">
        <v>0</v>
      </c>
      <c r="M57" t="n">
        <v>0</v>
      </c>
      <c r="N57">
        <f>SUM(J57:M57)</f>
        <v/>
      </c>
      <c r="O57" s="4">
        <f>SUM(J57:L57)/SUM(J57:M57)</f>
        <v/>
      </c>
      <c r="P57" s="5">
        <f>MAX(J57:L57)/SUM(J57:L57)</f>
        <v/>
      </c>
    </row>
    <row r="58">
      <c r="A58" t="inlineStr">
        <is>
          <t>Primer año</t>
        </is>
      </c>
      <c r="B58" t="inlineStr">
        <is>
          <t>Primer periodo</t>
        </is>
      </c>
      <c r="C58" t="n">
        <v>56</v>
      </c>
      <c r="D58" t="n">
        <v>56</v>
      </c>
      <c r="E58" s="3" t="n">
        <v>45638</v>
      </c>
      <c r="F58" t="inlineStr">
        <is>
          <t>Iniciativa</t>
        </is>
      </c>
      <c r="G58" t="inlineStr">
        <is>
          <t>Dictamen con minuta de decreto por el cual los dictámenes con minuta de decreto por los que se expiden las leyes de ingresos municipales para el ejercicio fiscal dos mil veinticinco; y la zonificación catastral y tablas de valores unitarios de suelos urbanos y rústicos, así como los valores catastrales de construcción por metro cuadrado de los ochenta y dos municipios</t>
        </is>
      </c>
      <c r="H58" t="n">
        <v>7</v>
      </c>
      <c r="I58" t="inlineStr">
        <is>
          <t>Impuestos, Finanzas Públicas, Patrimonio estatal y municipal</t>
        </is>
      </c>
      <c r="J58" t="n">
        <v>41</v>
      </c>
      <c r="K58" t="n">
        <v>0</v>
      </c>
      <c r="L58" t="n">
        <v>0</v>
      </c>
      <c r="M58" t="n">
        <v>0</v>
      </c>
      <c r="N58">
        <f>SUM(J58:M58)</f>
        <v/>
      </c>
      <c r="O58" s="4">
        <f>SUM(J58:L58)/SUM(J58:M58)</f>
        <v/>
      </c>
      <c r="P58" s="5">
        <f>MAX(J58:L58)/SUM(J58:L58)</f>
        <v/>
      </c>
    </row>
    <row r="59">
      <c r="A59" t="inlineStr">
        <is>
          <t>Primer año</t>
        </is>
      </c>
      <c r="B59" t="inlineStr">
        <is>
          <t>Primer periodo</t>
        </is>
      </c>
      <c r="C59" t="n">
        <v>57</v>
      </c>
      <c r="D59" t="n">
        <v>57</v>
      </c>
      <c r="E59" s="3" t="n">
        <v>45638</v>
      </c>
      <c r="F59" t="inlineStr">
        <is>
          <t>Iniciativa</t>
        </is>
      </c>
      <c r="G59" t="inlineStr">
        <is>
          <t>Dictamen con minuta de decreto por el cual el dictamen con minuta de decreto por el que se reforman la fracción vii del apartado b del artículo 27 y la fracción viii bis del artículo 30; se adiciona un último párrafo al artículo 38 y se deroga el artículo 39 bis de la ley de seguridad privada del estado libre y soberano de</t>
        </is>
      </c>
      <c r="H59" t="n">
        <v>3</v>
      </c>
      <c r="I59" t="inlineStr">
        <is>
          <t>Seguridad Pública, Protección Civil y Narcotráfico</t>
        </is>
      </c>
      <c r="J59" t="n">
        <v>41</v>
      </c>
      <c r="K59" t="n">
        <v>0</v>
      </c>
      <c r="L59" t="n">
        <v>0</v>
      </c>
      <c r="M59" t="n">
        <v>0</v>
      </c>
      <c r="N59">
        <f>SUM(J59:M59)</f>
        <v/>
      </c>
      <c r="O59" s="4">
        <f>SUM(J59:L59)/SUM(J59:M59)</f>
        <v/>
      </c>
      <c r="P59" s="5">
        <f>MAX(J59:L59)/SUM(J59:L59)</f>
        <v/>
      </c>
    </row>
    <row r="60">
      <c r="A60" t="inlineStr">
        <is>
          <t>Primer año</t>
        </is>
      </c>
      <c r="B60" t="inlineStr">
        <is>
          <t>Primer periodo</t>
        </is>
      </c>
      <c r="C60" t="n">
        <v>58</v>
      </c>
      <c r="D60" t="n">
        <v>58</v>
      </c>
      <c r="E60" s="3" t="n">
        <v>45641</v>
      </c>
      <c r="F60" t="inlineStr">
        <is>
          <t>Punto de Acuerdo</t>
        </is>
      </c>
      <c r="G60" t="inlineStr">
        <is>
          <t>Acuerdo por el cual se declara como recinto oficial y sede principal del honorable congreso del estado libre y soberano de Puebla, el inmueble ubicado en la avenida 32 oriente número 202, colonia mártires del trabajo, de esta ciudad de Puebla</t>
        </is>
      </c>
      <c r="H60" t="n">
        <v>19</v>
      </c>
      <c r="I60" t="inlineStr">
        <is>
          <t>Internos del Congreso</t>
        </is>
      </c>
      <c r="J60" t="n">
        <v>36</v>
      </c>
      <c r="K60" t="n">
        <v>0</v>
      </c>
      <c r="L60" t="n">
        <v>0</v>
      </c>
      <c r="M60" t="n">
        <v>5</v>
      </c>
      <c r="N60">
        <f>SUM(J60:M60)</f>
        <v/>
      </c>
      <c r="O60" s="4">
        <f>SUM(J60:L60)/SUM(J60:M60)</f>
        <v/>
      </c>
      <c r="P60" s="5">
        <f>MAX(J60:L60)/SUM(J60:L60)</f>
        <v/>
      </c>
    </row>
    <row r="61">
      <c r="A61" t="inlineStr">
        <is>
          <t>Primer año</t>
        </is>
      </c>
      <c r="B61" t="inlineStr">
        <is>
          <t>Primer periodo</t>
        </is>
      </c>
      <c r="C61" t="n">
        <v>59</v>
      </c>
      <c r="D61" t="n">
        <v>59</v>
      </c>
      <c r="E61" s="3" t="n">
        <v>45641</v>
      </c>
      <c r="F61" t="inlineStr">
        <is>
          <t>Punto de Acuerdo</t>
        </is>
      </c>
      <c r="G61" t="inlineStr">
        <is>
          <t>Acuerdo para la elección e integración de los miembros de la comisión permanente</t>
        </is>
      </c>
      <c r="H61" t="n">
        <v>19</v>
      </c>
      <c r="I61" t="inlineStr">
        <is>
          <t>Internos del Congreso</t>
        </is>
      </c>
      <c r="J61" t="n">
        <v>36</v>
      </c>
      <c r="K61" t="n">
        <v>0</v>
      </c>
      <c r="L61" t="n">
        <v>0</v>
      </c>
      <c r="M61" t="n">
        <v>5</v>
      </c>
      <c r="N61">
        <f>SUM(J61:M61)</f>
        <v/>
      </c>
      <c r="O61" s="4">
        <f>SUM(J61:L61)/SUM(J61:M61)</f>
        <v/>
      </c>
      <c r="P61" s="5">
        <f>MAX(J61:L61)/SUM(J61:L61)</f>
        <v/>
      </c>
    </row>
    <row r="62">
      <c r="A62" t="inlineStr">
        <is>
          <t>Primer año</t>
        </is>
      </c>
      <c r="B62" t="inlineStr">
        <is>
          <t>Primer periodo</t>
        </is>
      </c>
      <c r="C62" t="n">
        <v>60</v>
      </c>
      <c r="D62" t="n">
        <v>60</v>
      </c>
      <c r="E62" s="3" t="n">
        <v>45641</v>
      </c>
      <c r="F62" t="inlineStr">
        <is>
          <t>Iniciativa</t>
        </is>
      </c>
      <c r="G62" t="inlineStr">
        <is>
          <t>Dictamen con minuta de decreto por el cual se adicionan un párrafo quinto al artículo 4º y un párrafo segundo al artículo 5º de la constitución política de los Estados Unidos Mexicanos, en materia de protección a la salud</t>
        </is>
      </c>
      <c r="H62" t="n">
        <v>6</v>
      </c>
      <c r="I62" t="inlineStr">
        <is>
          <t>Salud</t>
        </is>
      </c>
      <c r="J62" t="n">
        <v>34</v>
      </c>
      <c r="K62" t="n">
        <v>3</v>
      </c>
      <c r="L62" t="n">
        <v>0</v>
      </c>
      <c r="M62" t="n">
        <v>4</v>
      </c>
      <c r="N62">
        <f>SUM(J62:M62)</f>
        <v/>
      </c>
      <c r="O62" s="4">
        <f>SUM(J62:L62)/SUM(J62:M62)</f>
        <v/>
      </c>
      <c r="P62" s="5">
        <f>MAX(J62:L62)/SUM(J62:L62)</f>
        <v/>
      </c>
    </row>
    <row r="63">
      <c r="A63" t="inlineStr">
        <is>
          <t>Primer año</t>
        </is>
      </c>
      <c r="B63" t="inlineStr">
        <is>
          <t>Primer periodo</t>
        </is>
      </c>
      <c r="C63" t="n">
        <v>61</v>
      </c>
      <c r="D63" t="n">
        <v>61</v>
      </c>
      <c r="E63" s="3" t="n">
        <v>45642</v>
      </c>
      <c r="F63" t="inlineStr">
        <is>
          <t>Punto de Acuerdo</t>
        </is>
      </c>
      <c r="G63" t="inlineStr">
        <is>
          <t>Acuerdo por el cual llevar a cabo las sesiones en el salón de plenos de este recinto legislativo</t>
        </is>
      </c>
      <c r="H63" t="n">
        <v>19</v>
      </c>
      <c r="I63" t="inlineStr">
        <is>
          <t>Internos del Congreso</t>
        </is>
      </c>
      <c r="J63" t="n">
        <v>8</v>
      </c>
      <c r="K63" t="n">
        <v>0</v>
      </c>
      <c r="L63" t="n">
        <v>0</v>
      </c>
      <c r="M63" t="n">
        <v>0</v>
      </c>
      <c r="N63">
        <f>SUM(J63:M63)</f>
        <v/>
      </c>
      <c r="O63" s="4">
        <f>SUM(J63:L63)/SUM(J63:M63)</f>
        <v/>
      </c>
      <c r="P63" s="5">
        <f>MAX(J63:L63)/SUM(J63:L63)</f>
        <v/>
      </c>
    </row>
    <row r="64">
      <c r="A64" t="inlineStr">
        <is>
          <t>Primer año</t>
        </is>
      </c>
      <c r="B64" t="inlineStr">
        <is>
          <t>Primer periodo</t>
        </is>
      </c>
      <c r="C64" t="n">
        <v>62</v>
      </c>
      <c r="D64" t="n">
        <v>62</v>
      </c>
      <c r="E64" s="3" t="n">
        <v>45642</v>
      </c>
      <c r="F64" t="inlineStr">
        <is>
          <t>Punto de Acuerdo</t>
        </is>
      </c>
      <c r="G64" t="inlineStr">
        <is>
          <t>Acuerdo por el cual tomar en consideración la solicitud antes referida</t>
        </is>
      </c>
      <c r="H64" t="n">
        <v>19</v>
      </c>
      <c r="I64" t="inlineStr">
        <is>
          <t>Internos del Congreso</t>
        </is>
      </c>
      <c r="J64" t="n">
        <v>8</v>
      </c>
      <c r="K64" t="n">
        <v>0</v>
      </c>
      <c r="L64" t="n">
        <v>0</v>
      </c>
      <c r="M64" t="n">
        <v>0</v>
      </c>
      <c r="N64">
        <f>SUM(J64:M64)</f>
        <v/>
      </c>
      <c r="O64" s="4">
        <f>SUM(J64:L64)/SUM(J64:M64)</f>
        <v/>
      </c>
      <c r="P64" s="5">
        <f>MAX(J64:L64)/SUM(J64:L64)</f>
        <v/>
      </c>
    </row>
    <row r="65">
      <c r="A65" t="inlineStr">
        <is>
          <t>Primer año</t>
        </is>
      </c>
      <c r="B65" t="inlineStr">
        <is>
          <t>Primer periodo</t>
        </is>
      </c>
      <c r="C65" t="n">
        <v>63</v>
      </c>
      <c r="D65" t="n">
        <v>63</v>
      </c>
      <c r="E65" s="3" t="n">
        <v>45642</v>
      </c>
      <c r="F65" t="inlineStr">
        <is>
          <t>Punto de Acuerdo</t>
        </is>
      </c>
      <c r="G65" t="inlineStr">
        <is>
          <t>Acuerdo por el que se convoca a una sesión extraordinaria</t>
        </is>
      </c>
      <c r="H65" t="n">
        <v>19</v>
      </c>
      <c r="I65" t="inlineStr">
        <is>
          <t>Internos del Congreso</t>
        </is>
      </c>
      <c r="J65" t="n">
        <v>8</v>
      </c>
      <c r="K65" t="n">
        <v>0</v>
      </c>
      <c r="L65" t="n">
        <v>0</v>
      </c>
      <c r="M65" t="n">
        <v>0</v>
      </c>
      <c r="N65">
        <f>SUM(J65:M65)</f>
        <v/>
      </c>
      <c r="O65" s="4">
        <f>SUM(J65:L65)/SUM(J65:M65)</f>
        <v/>
      </c>
      <c r="P65" s="5">
        <f>MAX(J65:L65)/SUM(J65:L65)</f>
        <v/>
      </c>
    </row>
    <row r="66">
      <c r="A66" t="inlineStr">
        <is>
          <t>Primer año</t>
        </is>
      </c>
      <c r="B66" t="inlineStr">
        <is>
          <t>Primer periodo</t>
        </is>
      </c>
      <c r="C66" t="n">
        <v>64</v>
      </c>
      <c r="D66" t="n">
        <v>64</v>
      </c>
      <c r="E66" s="3" t="n">
        <v>45643</v>
      </c>
      <c r="F66" t="inlineStr">
        <is>
          <t>Punto de Acuerdo</t>
        </is>
      </c>
      <c r="G66" t="inlineStr">
        <is>
          <t>Acuerdo por el que se integra la lista de las personas candidatas para ocupar el cargo de Fiscal General del Estado</t>
        </is>
      </c>
      <c r="H66" t="n">
        <v>14</v>
      </c>
      <c r="I66" t="inlineStr">
        <is>
          <t>Justicia y Estado de Derecho</t>
        </is>
      </c>
      <c r="J66" t="n">
        <v>29</v>
      </c>
      <c r="K66" t="n">
        <v>0</v>
      </c>
      <c r="L66" t="n">
        <v>5</v>
      </c>
      <c r="M66" t="n">
        <v>0</v>
      </c>
      <c r="N66">
        <f>SUM(J66:M66)</f>
        <v/>
      </c>
      <c r="O66" s="4">
        <f>SUM(J66:L66)/SUM(J66:M66)</f>
        <v/>
      </c>
      <c r="P66" s="5">
        <f>MAX(J66:L66)/SUM(J66:L66)</f>
        <v/>
      </c>
    </row>
    <row r="67">
      <c r="A67" t="inlineStr">
        <is>
          <t>Primer año</t>
        </is>
      </c>
      <c r="B67" t="inlineStr">
        <is>
          <t>Primer periodo</t>
        </is>
      </c>
      <c r="C67" t="n">
        <v>65</v>
      </c>
      <c r="D67" t="n">
        <v>65</v>
      </c>
      <c r="E67" s="3" t="n">
        <v>45644</v>
      </c>
      <c r="F67" t="inlineStr">
        <is>
          <t>Punto de Acuerdo</t>
        </is>
      </c>
      <c r="G67" t="inlineStr">
        <is>
          <t>Acuerdo por el cual se convoca a una sesión extraordinaria</t>
        </is>
      </c>
      <c r="H67" t="n">
        <v>19</v>
      </c>
      <c r="I67" t="inlineStr">
        <is>
          <t>Internos del Congreso</t>
        </is>
      </c>
      <c r="J67" t="n">
        <v>7</v>
      </c>
      <c r="K67" t="n">
        <v>0</v>
      </c>
      <c r="L67" t="n">
        <v>0</v>
      </c>
      <c r="M67" t="n">
        <v>0</v>
      </c>
      <c r="N67">
        <f>SUM(J67:M67)</f>
        <v/>
      </c>
      <c r="O67" s="4">
        <f>SUM(J67:L67)/SUM(J67:M67)</f>
        <v/>
      </c>
      <c r="P67" s="5">
        <f>MAX(J67:L67)/SUM(J67:L67)</f>
        <v/>
      </c>
    </row>
    <row r="68">
      <c r="A68" t="inlineStr">
        <is>
          <t>Primer año</t>
        </is>
      </c>
      <c r="B68" t="inlineStr">
        <is>
          <t>Primer periodo</t>
        </is>
      </c>
      <c r="C68" t="n">
        <v>66</v>
      </c>
      <c r="D68" t="n">
        <v>66</v>
      </c>
      <c r="E68" s="3" t="n">
        <v>45644</v>
      </c>
      <c r="F68" t="inlineStr">
        <is>
          <t>Punto de Acuerdo</t>
        </is>
      </c>
      <c r="G68" t="inlineStr">
        <is>
          <t>Acuerdo que presenta la comisión de asuntos metropolitanos de la sexagésima segunda legislatura del honorable congreso del estado, por el que se exhorta respetuosamente a los diecinueve ayuntamientos de la zona metropolitana de, a que establezcan mesas de trabajo y espacios de diálogo</t>
        </is>
      </c>
      <c r="H68" t="n">
        <v>5</v>
      </c>
      <c r="I68" t="inlineStr">
        <is>
          <t>Medio Ambiente</t>
        </is>
      </c>
      <c r="J68" t="n">
        <v>8</v>
      </c>
      <c r="K68" t="n">
        <v>0</v>
      </c>
      <c r="L68" t="n">
        <v>0</v>
      </c>
      <c r="M68" t="n">
        <v>0</v>
      </c>
      <c r="N68">
        <f>SUM(J68:M68)</f>
        <v/>
      </c>
      <c r="O68" s="4">
        <f>SUM(J68:L68)/SUM(J68:M68)</f>
        <v/>
      </c>
      <c r="P68" s="5">
        <f>MAX(J68:L68)/SUM(J68:L68)</f>
        <v/>
      </c>
    </row>
    <row r="69">
      <c r="A69" t="inlineStr">
        <is>
          <t>Primer año</t>
        </is>
      </c>
      <c r="B69" t="inlineStr">
        <is>
          <t>Primer periodo</t>
        </is>
      </c>
      <c r="C69" t="n">
        <v>67</v>
      </c>
      <c r="D69" t="n">
        <v>67</v>
      </c>
      <c r="E69" s="3" t="n">
        <v>45645</v>
      </c>
      <c r="F69" t="inlineStr">
        <is>
          <t>Punto de Acuerdo</t>
        </is>
      </c>
      <c r="G69" t="inlineStr">
        <is>
          <t>Acuerdo por el cual convoca a una sesión extraordinaria</t>
        </is>
      </c>
      <c r="H69" t="n">
        <v>19</v>
      </c>
      <c r="I69" t="inlineStr">
        <is>
          <t>Internos del Congreso</t>
        </is>
      </c>
      <c r="J69" t="n">
        <v>8</v>
      </c>
      <c r="K69" t="n">
        <v>0</v>
      </c>
      <c r="L69" t="n">
        <v>0</v>
      </c>
      <c r="M69" t="n">
        <v>0</v>
      </c>
      <c r="N69">
        <f>SUM(J69:M69)</f>
        <v/>
      </c>
      <c r="O69" s="4">
        <f>SUM(J69:L69)/SUM(J69:M69)</f>
        <v/>
      </c>
      <c r="P69" s="5">
        <f>MAX(J69:L69)/SUM(J69:L69)</f>
        <v/>
      </c>
    </row>
    <row r="70">
      <c r="A70" t="inlineStr">
        <is>
          <t>Primer año</t>
        </is>
      </c>
      <c r="B70" t="inlineStr">
        <is>
          <t>Primer periodo</t>
        </is>
      </c>
      <c r="C70" t="n">
        <v>68</v>
      </c>
      <c r="D70" t="n">
        <v>68</v>
      </c>
      <c r="E70" s="3" t="n">
        <v>45646</v>
      </c>
      <c r="F70" t="inlineStr">
        <is>
          <t>Iniciativa</t>
        </is>
      </c>
      <c r="G70" t="inlineStr">
        <is>
          <t>Dictamen con minuta de decreto que presenta la comisión de gobernación y puntos constitucionales de la sexagésima segunda legislatura del honorable congreso del estado, por el que se reforma el párrafo primero y la fracción ii del artículo 12 del decreto que crea el organismo público descentralizado denominado “sistema de información y comunicación del estado de ”</t>
        </is>
      </c>
      <c r="H70" t="n">
        <v>18</v>
      </c>
      <c r="I70" t="inlineStr">
        <is>
          <t>Administración Pública</t>
        </is>
      </c>
      <c r="J70" t="n">
        <v>37</v>
      </c>
      <c r="K70" t="n">
        <v>0</v>
      </c>
      <c r="L70" t="n">
        <v>0</v>
      </c>
      <c r="M70" t="n">
        <v>4</v>
      </c>
      <c r="N70">
        <f>SUM(J70:M70)</f>
        <v/>
      </c>
      <c r="O70" s="4">
        <f>SUM(J70:L70)/SUM(J70:M70)</f>
        <v/>
      </c>
      <c r="P70" s="5">
        <f>MAX(J70:L70)/SUM(J70:L70)</f>
        <v/>
      </c>
    </row>
    <row r="71">
      <c r="A71" t="inlineStr">
        <is>
          <t>Primer año</t>
        </is>
      </c>
      <c r="B71" t="inlineStr">
        <is>
          <t>Primer periodo</t>
        </is>
      </c>
      <c r="C71" t="n">
        <v>69</v>
      </c>
      <c r="D71" t="n">
        <v>69</v>
      </c>
      <c r="E71" s="3" t="n">
        <v>45646</v>
      </c>
      <c r="F71" t="inlineStr">
        <is>
          <t>Iniciativa</t>
        </is>
      </c>
      <c r="G71" t="inlineStr">
        <is>
          <t>Dictamen con minuta de decreto que presenta la comisión de gobernación y puntos constitucionales de la sexagésima segunda legislatura del honorable congreso del estado, por el que se reforman los artículos 2 y 3, y las fracciones iv y v del 4; y se adiciona la fracción vi al artículo 4, del similar que crea el organismo público descentralizado denominado “corporación auxiliar de policía de protección ciudadana”</t>
        </is>
      </c>
      <c r="H71" t="n">
        <v>3</v>
      </c>
      <c r="I71" t="inlineStr">
        <is>
          <t>Seguridad Pública, Protección Civil y Narcotráfico</t>
        </is>
      </c>
      <c r="J71" t="n">
        <v>37</v>
      </c>
      <c r="K71" t="n">
        <v>0</v>
      </c>
      <c r="L71" t="n">
        <v>0</v>
      </c>
      <c r="M71" t="n">
        <v>4</v>
      </c>
      <c r="N71">
        <f>SUM(J71:M71)</f>
        <v/>
      </c>
      <c r="O71" s="4">
        <f>SUM(J71:L71)/SUM(J71:M71)</f>
        <v/>
      </c>
      <c r="P71" s="5">
        <f>MAX(J71:L71)/SUM(J71:L71)</f>
        <v/>
      </c>
    </row>
    <row r="72">
      <c r="A72" t="inlineStr">
        <is>
          <t>Primer año</t>
        </is>
      </c>
      <c r="B72" t="inlineStr">
        <is>
          <t>Primer periodo</t>
        </is>
      </c>
      <c r="C72" t="n">
        <v>70</v>
      </c>
      <c r="D72" t="n">
        <v>70</v>
      </c>
      <c r="E72" s="3" t="n">
        <v>45646</v>
      </c>
      <c r="F72" t="inlineStr">
        <is>
          <t>Punto de Acuerdo</t>
        </is>
      </c>
      <c r="G72" t="inlineStr">
        <is>
          <t>Elección de la persona titular de la fiscalía general del estado</t>
        </is>
      </c>
      <c r="H72" t="n">
        <v>14</v>
      </c>
      <c r="I72" t="inlineStr">
        <is>
          <t>Justicia y Estado de Derecho</t>
        </is>
      </c>
      <c r="J72" t="n">
        <v>34</v>
      </c>
      <c r="K72" t="n">
        <v>0</v>
      </c>
      <c r="L72" t="n">
        <v>0</v>
      </c>
      <c r="M72" t="n">
        <v>7</v>
      </c>
      <c r="N72">
        <f>SUM(J72:M72)</f>
        <v/>
      </c>
      <c r="O72" s="4">
        <f>SUM(J72:L72)/SUM(J72:M72)</f>
        <v/>
      </c>
      <c r="P72" s="5">
        <f>MAX(J72:L72)/SUM(J72:L72)</f>
        <v/>
      </c>
    </row>
    <row r="73">
      <c r="A73" t="inlineStr">
        <is>
          <t>Primer año</t>
        </is>
      </c>
      <c r="B73" t="inlineStr">
        <is>
          <t>Primer periodo</t>
        </is>
      </c>
      <c r="C73" t="n">
        <v>71</v>
      </c>
      <c r="D73" t="n">
        <v>71</v>
      </c>
      <c r="E73" s="3" t="n">
        <v>45666</v>
      </c>
      <c r="F73" t="inlineStr">
        <is>
          <t>Punto de Acuerdo</t>
        </is>
      </c>
      <c r="G73" t="inlineStr">
        <is>
          <t>Acuerdo por el cual llevar a cabo las sesiones en el salón de pleno de este recinto oficial</t>
        </is>
      </c>
      <c r="H73" t="n">
        <v>18</v>
      </c>
      <c r="I73" t="inlineStr">
        <is>
          <t>Administración Pública</t>
        </is>
      </c>
      <c r="J73" t="n">
        <v>9</v>
      </c>
      <c r="K73" t="n">
        <v>0</v>
      </c>
      <c r="L73" t="n">
        <v>0</v>
      </c>
      <c r="M73" t="n">
        <v>0</v>
      </c>
      <c r="N73">
        <f>SUM(J73:M73)</f>
        <v/>
      </c>
      <c r="O73" s="4">
        <f>SUM(J73:L73)/SUM(J73:M73)</f>
        <v/>
      </c>
      <c r="P73" s="5">
        <f>MAX(J73:L73)/SUM(J73:L73)</f>
        <v/>
      </c>
    </row>
    <row r="74">
      <c r="A74" t="inlineStr">
        <is>
          <t>Primer año</t>
        </is>
      </c>
      <c r="B74" t="inlineStr">
        <is>
          <t>Primer periodo</t>
        </is>
      </c>
      <c r="C74" t="n">
        <v>72</v>
      </c>
      <c r="D74" t="n">
        <v>72</v>
      </c>
      <c r="E74" s="3" t="n">
        <v>45666</v>
      </c>
      <c r="F74" t="inlineStr">
        <is>
          <t>Punto de Acuerdo</t>
        </is>
      </c>
      <c r="G74" t="inlineStr">
        <is>
          <t>Acuerdo por el cual dispensar la lectura del orden del día</t>
        </is>
      </c>
      <c r="H74" t="n">
        <v>18</v>
      </c>
      <c r="I74" t="inlineStr">
        <is>
          <t>Administración Pública</t>
        </is>
      </c>
      <c r="J74" t="n">
        <v>9</v>
      </c>
      <c r="K74" t="n">
        <v>0</v>
      </c>
      <c r="L74" t="n">
        <v>0</v>
      </c>
      <c r="M74" t="n">
        <v>0</v>
      </c>
      <c r="N74">
        <f>SUM(J74:M74)</f>
        <v/>
      </c>
      <c r="O74" s="4">
        <f>SUM(J74:L74)/SUM(J74:M74)</f>
        <v/>
      </c>
      <c r="P74" s="5">
        <f>MAX(J74:L74)/SUM(J74:L74)</f>
        <v/>
      </c>
    </row>
    <row r="75">
      <c r="A75" t="inlineStr">
        <is>
          <t>Primer año</t>
        </is>
      </c>
      <c r="B75" t="inlineStr">
        <is>
          <t>Primer periodo</t>
        </is>
      </c>
      <c r="C75" t="n">
        <v>73</v>
      </c>
      <c r="D75" t="n">
        <v>73</v>
      </c>
      <c r="E75" s="3" t="n">
        <v>45666</v>
      </c>
      <c r="F75" t="inlineStr">
        <is>
          <t>Punto de Acuerdo</t>
        </is>
      </c>
      <c r="G75" t="inlineStr">
        <is>
          <t>Acuerdo por el cual dispensar la lectura del acta de la sesión</t>
        </is>
      </c>
      <c r="H75" t="n">
        <v>18</v>
      </c>
      <c r="I75" t="inlineStr">
        <is>
          <t>Administración Pública</t>
        </is>
      </c>
      <c r="J75" t="n">
        <v>9</v>
      </c>
      <c r="K75" t="n">
        <v>0</v>
      </c>
      <c r="L75" t="n">
        <v>0</v>
      </c>
      <c r="M75" t="n">
        <v>0</v>
      </c>
      <c r="N75">
        <f>SUM(J75:M75)</f>
        <v/>
      </c>
      <c r="O75" s="4">
        <f>SUM(J75:L75)/SUM(J75:M75)</f>
        <v/>
      </c>
      <c r="P75" s="5">
        <f>MAX(J75:L75)/SUM(J75:L75)</f>
        <v/>
      </c>
    </row>
    <row r="76">
      <c r="A76" t="inlineStr">
        <is>
          <t>Primer año</t>
        </is>
      </c>
      <c r="B76" t="inlineStr">
        <is>
          <t>Primer periodo</t>
        </is>
      </c>
      <c r="C76" t="n">
        <v>74</v>
      </c>
      <c r="D76" t="n">
        <v>74</v>
      </c>
      <c r="E76" s="3" t="n">
        <v>45666</v>
      </c>
      <c r="F76" t="inlineStr">
        <is>
          <t>Punto de Acuerdo</t>
        </is>
      </c>
      <c r="G76" t="inlineStr">
        <is>
          <t>Acuerdo por el cual aprobar el contenido del acta</t>
        </is>
      </c>
      <c r="H76" t="n">
        <v>18</v>
      </c>
      <c r="I76" t="inlineStr">
        <is>
          <t>Administración Pública</t>
        </is>
      </c>
      <c r="J76" t="n">
        <v>9</v>
      </c>
      <c r="K76" t="n">
        <v>0</v>
      </c>
      <c r="L76" t="n">
        <v>0</v>
      </c>
      <c r="M76" t="n">
        <v>0</v>
      </c>
      <c r="N76">
        <f>SUM(J76:M76)</f>
        <v/>
      </c>
      <c r="O76" s="4">
        <f>SUM(J76:L76)/SUM(J76:M76)</f>
        <v/>
      </c>
      <c r="P76" s="5">
        <f>MAX(J76:L76)/SUM(J76:L76)</f>
        <v/>
      </c>
    </row>
    <row r="77">
      <c r="A77" t="inlineStr">
        <is>
          <t>Primer año</t>
        </is>
      </c>
      <c r="B77" t="inlineStr">
        <is>
          <t>Segundo periodo</t>
        </is>
      </c>
      <c r="C77" t="n">
        <v>1</v>
      </c>
      <c r="D77" t="n">
        <v>75</v>
      </c>
      <c r="E77" s="3" t="n">
        <v>45672</v>
      </c>
      <c r="F77" t="inlineStr">
        <is>
          <t>Punto de Acuerdo</t>
        </is>
      </c>
      <c r="G77" t="inlineStr">
        <is>
          <t>Acuerdo por el cual se acepta y aprueba la renuncia de la ciudadana Fernanda Abdeyan Godos Balderas</t>
        </is>
      </c>
      <c r="H77" t="n">
        <v>18</v>
      </c>
      <c r="I77" t="inlineStr">
        <is>
          <t>Administración Pública</t>
        </is>
      </c>
      <c r="J77" t="n">
        <v>38</v>
      </c>
      <c r="K77" t="n">
        <v>0</v>
      </c>
      <c r="L77" t="n">
        <v>0</v>
      </c>
      <c r="M77" t="n">
        <v>3</v>
      </c>
      <c r="N77">
        <f>SUM(J77:M77)</f>
        <v/>
      </c>
      <c r="O77" s="4">
        <f>SUM(J77:L77)/SUM(J77:M77)</f>
        <v/>
      </c>
      <c r="P77" s="5">
        <f>MAX(J77:L77)/SUM(J77:L77)</f>
        <v/>
      </c>
    </row>
    <row r="78">
      <c r="A78" t="inlineStr">
        <is>
          <t>Primer año</t>
        </is>
      </c>
      <c r="B78" t="inlineStr">
        <is>
          <t>Segundo periodo</t>
        </is>
      </c>
      <c r="C78" t="n">
        <v>2</v>
      </c>
      <c r="D78" t="n">
        <v>76</v>
      </c>
      <c r="E78" s="3" t="n">
        <v>45672</v>
      </c>
      <c r="F78" t="inlineStr">
        <is>
          <t>Punto de Acuerdo</t>
        </is>
      </c>
      <c r="G78" t="inlineStr">
        <is>
          <t>Acuerdo por el cual se nombra al ciudadano Julio Leopoldo de Lara Valera, como Secretario General</t>
        </is>
      </c>
      <c r="H78" t="n">
        <v>18</v>
      </c>
      <c r="I78" t="inlineStr">
        <is>
          <t>Administración Pública</t>
        </is>
      </c>
      <c r="J78" t="n">
        <v>33</v>
      </c>
      <c r="K78" t="n">
        <v>0</v>
      </c>
      <c r="L78" t="n">
        <v>5</v>
      </c>
      <c r="M78" t="n">
        <v>3</v>
      </c>
      <c r="N78">
        <f>SUM(J78:M78)</f>
        <v/>
      </c>
      <c r="O78" s="4">
        <f>SUM(J78:L78)/SUM(J78:M78)</f>
        <v/>
      </c>
      <c r="P78" s="5">
        <f>MAX(J78:L78)/SUM(J78:L78)</f>
        <v/>
      </c>
    </row>
    <row r="79">
      <c r="A79" t="inlineStr">
        <is>
          <t>Primer año</t>
        </is>
      </c>
      <c r="B79" t="inlineStr">
        <is>
          <t>Segundo periodo</t>
        </is>
      </c>
      <c r="C79" t="n">
        <v>3</v>
      </c>
      <c r="D79" t="n">
        <v>77</v>
      </c>
      <c r="E79" s="3" t="n">
        <v>45672</v>
      </c>
      <c r="F79" t="inlineStr">
        <is>
          <t>Punto de Acuerdo</t>
        </is>
      </c>
      <c r="G79" t="inlineStr">
        <is>
          <t>Acuerdo por el que se exhorta respetuosamente a los doscientos trece ayuntamientos y a los cuatro concejos municipales de la entidad</t>
        </is>
      </c>
      <c r="H79" t="n">
        <v>4</v>
      </c>
      <c r="I79" t="inlineStr">
        <is>
          <t>Partidos Políticos y Elecciones</t>
        </is>
      </c>
      <c r="J79" t="n">
        <v>40</v>
      </c>
      <c r="K79" t="n">
        <v>0</v>
      </c>
      <c r="L79" t="n">
        <v>0</v>
      </c>
      <c r="M79" t="n">
        <v>1</v>
      </c>
      <c r="N79">
        <f>SUM(J79:M79)</f>
        <v/>
      </c>
      <c r="O79" s="4">
        <f>SUM(J79:L79)/SUM(J79:M79)</f>
        <v/>
      </c>
      <c r="P79" s="5">
        <f>MAX(J79:L79)/SUM(J79:L79)</f>
        <v/>
      </c>
    </row>
    <row r="80">
      <c r="A80" t="inlineStr">
        <is>
          <t>Primer año</t>
        </is>
      </c>
      <c r="B80" t="inlineStr">
        <is>
          <t>Segundo periodo</t>
        </is>
      </c>
      <c r="C80" t="n">
        <v>4</v>
      </c>
      <c r="D80" t="n">
        <v>78</v>
      </c>
      <c r="E80" s="3" t="n">
        <v>45672</v>
      </c>
      <c r="F80" t="inlineStr">
        <is>
          <t>Punto de Acuerdo</t>
        </is>
      </c>
      <c r="G80" t="inlineStr">
        <is>
          <t>Acuerdo por el que se exhorta a los doscientos trece ayuntamientos y cuatro concejos municipales del estado</t>
        </is>
      </c>
      <c r="H80" t="n">
        <v>18</v>
      </c>
      <c r="I80" t="inlineStr">
        <is>
          <t>Administración Pública</t>
        </is>
      </c>
      <c r="J80" t="n">
        <v>40</v>
      </c>
      <c r="K80" t="n">
        <v>0</v>
      </c>
      <c r="L80" t="n">
        <v>0</v>
      </c>
      <c r="M80" t="n">
        <v>1</v>
      </c>
      <c r="N80">
        <f>SUM(J80:M80)</f>
        <v/>
      </c>
      <c r="O80" s="4">
        <f>SUM(J80:L80)/SUM(J80:M80)</f>
        <v/>
      </c>
      <c r="P80" s="5">
        <f>MAX(J80:L80)/SUM(J80:L80)</f>
        <v/>
      </c>
    </row>
    <row r="81">
      <c r="A81" t="inlineStr">
        <is>
          <t>Primer año</t>
        </is>
      </c>
      <c r="B81" t="inlineStr">
        <is>
          <t>Segundo periodo</t>
        </is>
      </c>
      <c r="C81" t="n">
        <v>5</v>
      </c>
      <c r="D81" t="n">
        <v>79</v>
      </c>
      <c r="E81" s="3" t="n">
        <v>45672</v>
      </c>
      <c r="F81" t="inlineStr">
        <is>
          <t>Punto de Acuerdo</t>
        </is>
      </c>
      <c r="G81" t="inlineStr">
        <is>
          <t>Acuerdo por el que se exhorta, respetuosamente a los doscientos trece ayuntamientos y a los cuatro concejos municipales del estado</t>
        </is>
      </c>
      <c r="H81" t="n">
        <v>18</v>
      </c>
      <c r="I81" t="inlineStr">
        <is>
          <t>Administración Pública</t>
        </is>
      </c>
      <c r="J81" t="n">
        <v>40</v>
      </c>
      <c r="K81" t="n">
        <v>0</v>
      </c>
      <c r="L81" t="n">
        <v>0</v>
      </c>
      <c r="M81" t="n">
        <v>1</v>
      </c>
      <c r="N81">
        <f>SUM(J81:M81)</f>
        <v/>
      </c>
      <c r="O81" s="4">
        <f>SUM(J81:L81)/SUM(J81:M81)</f>
        <v/>
      </c>
      <c r="P81" s="5">
        <f>MAX(J81:L81)/SUM(J81:L81)</f>
        <v/>
      </c>
    </row>
    <row r="82">
      <c r="A82" t="inlineStr">
        <is>
          <t>Primer año</t>
        </is>
      </c>
      <c r="B82" t="inlineStr">
        <is>
          <t>Segundo periodo</t>
        </is>
      </c>
      <c r="C82" t="n">
        <v>6</v>
      </c>
      <c r="D82" t="n">
        <v>80</v>
      </c>
      <c r="E82" s="3" t="n">
        <v>45680</v>
      </c>
      <c r="F82" t="inlineStr">
        <is>
          <t>Punto de Acuerdo</t>
        </is>
      </c>
      <c r="G82" t="inlineStr">
        <is>
          <t>Acuerdo por el cual se aprueba la licencia por tiempo indeterminado al magistrado Jonathan Ávalos Meléndez</t>
        </is>
      </c>
      <c r="H82" t="n">
        <v>18</v>
      </c>
      <c r="I82" t="inlineStr">
        <is>
          <t>Administración Pública</t>
        </is>
      </c>
      <c r="J82" t="n">
        <v>41</v>
      </c>
      <c r="K82" t="n">
        <v>0</v>
      </c>
      <c r="L82" t="n">
        <v>0</v>
      </c>
      <c r="M82" t="n">
        <v>0</v>
      </c>
      <c r="N82">
        <f>SUM(J82:M82)</f>
        <v/>
      </c>
      <c r="O82" s="4">
        <f>SUM(J82:L82)/SUM(J82:M82)</f>
        <v/>
      </c>
      <c r="P82" s="5">
        <f>MAX(J82:L82)/SUM(J82:L82)</f>
        <v/>
      </c>
    </row>
    <row r="83">
      <c r="A83" t="inlineStr">
        <is>
          <t>Primer año</t>
        </is>
      </c>
      <c r="B83" t="inlineStr">
        <is>
          <t>Segundo periodo</t>
        </is>
      </c>
      <c r="C83" t="n">
        <v>7</v>
      </c>
      <c r="D83" t="n">
        <v>81</v>
      </c>
      <c r="E83" s="3" t="n">
        <v>45687</v>
      </c>
      <c r="F83" t="inlineStr">
        <is>
          <t>Iniciativa</t>
        </is>
      </c>
      <c r="G83" t="inlineStr">
        <is>
          <t>Dictamen con minuta de decreto por el cual se declara “2025, año del Bicentenario de la Constitución Política del estado libre y soberano de de 1825”</t>
        </is>
      </c>
      <c r="H83" t="n">
        <v>8</v>
      </c>
      <c r="I83" t="inlineStr">
        <is>
          <t>Educación y Cultura</t>
        </is>
      </c>
      <c r="J83" t="n">
        <v>39</v>
      </c>
      <c r="K83" t="n">
        <v>0</v>
      </c>
      <c r="L83" t="n">
        <v>0</v>
      </c>
      <c r="M83" t="n">
        <v>2</v>
      </c>
      <c r="N83">
        <f>SUM(J83:M83)</f>
        <v/>
      </c>
      <c r="O83" s="4">
        <f>SUM(J83:L83)/SUM(J83:M83)</f>
        <v/>
      </c>
      <c r="P83" s="5">
        <f>MAX(J83:L83)/SUM(J83:L83)</f>
        <v/>
      </c>
    </row>
    <row r="84">
      <c r="A84" t="inlineStr">
        <is>
          <t>Primer año</t>
        </is>
      </c>
      <c r="B84" t="inlineStr">
        <is>
          <t>Segundo periodo</t>
        </is>
      </c>
      <c r="C84" t="n">
        <v>8</v>
      </c>
      <c r="D84" t="n">
        <v>82</v>
      </c>
      <c r="E84" s="3" t="n">
        <v>45687</v>
      </c>
      <c r="F84" t="inlineStr">
        <is>
          <t>Iniciativa</t>
        </is>
      </c>
      <c r="G84" t="inlineStr">
        <is>
          <t>Dictamen con minuta de decreto por el cual se extingue el organismo público descentralizado denominado “consejo de ciencia y tecnología del estado de ”</t>
        </is>
      </c>
      <c r="H84" t="n">
        <v>18</v>
      </c>
      <c r="I84" t="inlineStr">
        <is>
          <t>Administración Pública</t>
        </is>
      </c>
      <c r="J84" t="n">
        <v>39</v>
      </c>
      <c r="K84" t="n">
        <v>0</v>
      </c>
      <c r="L84" t="n">
        <v>0</v>
      </c>
      <c r="M84" t="n">
        <v>2</v>
      </c>
      <c r="N84">
        <f>SUM(J84:M84)</f>
        <v/>
      </c>
      <c r="O84" s="4">
        <f>SUM(J84:L84)/SUM(J84:M84)</f>
        <v/>
      </c>
      <c r="P84" s="5">
        <f>MAX(J84:L84)/SUM(J84:L84)</f>
        <v/>
      </c>
    </row>
    <row r="85">
      <c r="A85" t="inlineStr">
        <is>
          <t>Primer año</t>
        </is>
      </c>
      <c r="B85" t="inlineStr">
        <is>
          <t>Segundo periodo</t>
        </is>
      </c>
      <c r="C85" t="n">
        <v>9</v>
      </c>
      <c r="D85" t="n">
        <v>83</v>
      </c>
      <c r="E85" s="3" t="n">
        <v>45687</v>
      </c>
      <c r="F85" t="inlineStr">
        <is>
          <t>Iniciativa</t>
        </is>
      </c>
      <c r="G85" t="inlineStr">
        <is>
          <t>Dictamen con minuta de decreto por el cual se extingue el organismo público descentralizado denominado “instituto poblano del deporte”</t>
        </is>
      </c>
      <c r="H85" t="n">
        <v>18</v>
      </c>
      <c r="I85" t="inlineStr">
        <is>
          <t>Administración Pública</t>
        </is>
      </c>
      <c r="J85" t="n">
        <v>39</v>
      </c>
      <c r="K85" t="n">
        <v>0</v>
      </c>
      <c r="L85" t="n">
        <v>0</v>
      </c>
      <c r="M85" t="n">
        <v>2</v>
      </c>
      <c r="N85">
        <f>SUM(J85:M85)</f>
        <v/>
      </c>
      <c r="O85" s="4">
        <f>SUM(J85:L85)/SUM(J85:M85)</f>
        <v/>
      </c>
      <c r="P85" s="5">
        <f>MAX(J85:L85)/SUM(J85:L85)</f>
        <v/>
      </c>
    </row>
    <row r="86">
      <c r="A86" t="inlineStr">
        <is>
          <t>Primer año</t>
        </is>
      </c>
      <c r="B86" t="inlineStr">
        <is>
          <t>Segundo periodo</t>
        </is>
      </c>
      <c r="C86" t="n">
        <v>10</v>
      </c>
      <c r="D86" t="n">
        <v>84</v>
      </c>
      <c r="E86" s="3" t="n">
        <v>45687</v>
      </c>
      <c r="F86" t="inlineStr">
        <is>
          <t>Iniciativa</t>
        </is>
      </c>
      <c r="G86" t="inlineStr">
        <is>
          <t>Dictamen con minuta de decreto por el cual se extingue el organismo público descentralizado denominado “instituto poblano de la juventud”</t>
        </is>
      </c>
      <c r="H86" t="n">
        <v>18</v>
      </c>
      <c r="I86" t="inlineStr">
        <is>
          <t>Administración Pública</t>
        </is>
      </c>
      <c r="J86" t="n">
        <v>39</v>
      </c>
      <c r="K86" t="n">
        <v>0</v>
      </c>
      <c r="L86" t="n">
        <v>0</v>
      </c>
      <c r="M86" t="n">
        <v>2</v>
      </c>
      <c r="N86">
        <f>SUM(J86:M86)</f>
        <v/>
      </c>
      <c r="O86" s="4">
        <f>SUM(J86:L86)/SUM(J86:M86)</f>
        <v/>
      </c>
      <c r="P86" s="5">
        <f>MAX(J86:L86)/SUM(J86:L86)</f>
        <v/>
      </c>
    </row>
    <row r="87">
      <c r="A87" t="inlineStr">
        <is>
          <t>Primer año</t>
        </is>
      </c>
      <c r="B87" t="inlineStr">
        <is>
          <t>Segundo periodo</t>
        </is>
      </c>
      <c r="C87" t="n">
        <v>11</v>
      </c>
      <c r="D87" t="n">
        <v>85</v>
      </c>
      <c r="E87" s="3" t="n">
        <v>45687</v>
      </c>
      <c r="F87" t="inlineStr">
        <is>
          <t>Iniciativa</t>
        </is>
      </c>
      <c r="G87" t="inlineStr">
        <is>
          <t>Dictamen con minuta de decreto por el cual se reforman y adicionan diversas disposiciones de la ley de coordinación hacendaria del estado de y sus municipios</t>
        </is>
      </c>
      <c r="H87" t="n">
        <v>7</v>
      </c>
      <c r="I87" t="inlineStr">
        <is>
          <t>Impuestos, Finanzas Públicas, Patrimonio estatal y municipal</t>
        </is>
      </c>
      <c r="J87" t="n">
        <v>39</v>
      </c>
      <c r="K87" t="n">
        <v>0</v>
      </c>
      <c r="L87" t="n">
        <v>0</v>
      </c>
      <c r="M87" t="n">
        <v>2</v>
      </c>
      <c r="N87">
        <f>SUM(J87:M87)</f>
        <v/>
      </c>
      <c r="O87" s="4">
        <f>SUM(J87:L87)/SUM(J87:M87)</f>
        <v/>
      </c>
      <c r="P87" s="5">
        <f>MAX(J87:L87)/SUM(J87:L87)</f>
        <v/>
      </c>
    </row>
    <row r="88">
      <c r="A88" t="inlineStr">
        <is>
          <t>Primer año</t>
        </is>
      </c>
      <c r="B88" t="inlineStr">
        <is>
          <t>Segundo periodo</t>
        </is>
      </c>
      <c r="C88" t="n">
        <v>12</v>
      </c>
      <c r="D88" t="n">
        <v>86</v>
      </c>
      <c r="E88" s="3" t="n">
        <v>45687</v>
      </c>
      <c r="F88" t="inlineStr">
        <is>
          <t>Iniciativa</t>
        </is>
      </c>
      <c r="G88" t="inlineStr">
        <is>
          <t xml:space="preserve">Dictamen con minuta de decreto por el cual se autoriza al honorable ayuntamiento del municipio de Xicotepec, , a enajenar el bien inmueble de su propiedad descrito en el presente decreto, bajo la figura de donación a título gratuito a favor del organismo público descentralizado instituto de seguridad y servicios sociales de los trabajadores al servicio de los poderes del estado de (i.s.s.s.t.e.p.) para el funcionamiento exclusivo de las instalaciones de servicios de salud a prestarse en el municipio de Xicotepec, </t>
        </is>
      </c>
      <c r="H88" t="n">
        <v>7</v>
      </c>
      <c r="I88" t="inlineStr">
        <is>
          <t>Impuestos, Finanzas Públicas, Patrimonio estatal y municipal</t>
        </is>
      </c>
      <c r="J88" t="n">
        <v>39</v>
      </c>
      <c r="K88" t="n">
        <v>0</v>
      </c>
      <c r="L88" t="n">
        <v>0</v>
      </c>
      <c r="M88" t="n">
        <v>2</v>
      </c>
      <c r="N88">
        <f>SUM(J88:M88)</f>
        <v/>
      </c>
      <c r="O88" s="4">
        <f>SUM(J88:L88)/SUM(J88:M88)</f>
        <v/>
      </c>
      <c r="P88" s="5">
        <f>MAX(J88:L88)/SUM(J88:L88)</f>
        <v/>
      </c>
    </row>
    <row r="89">
      <c r="A89" t="inlineStr">
        <is>
          <t>Primer año</t>
        </is>
      </c>
      <c r="B89" t="inlineStr">
        <is>
          <t>Segundo periodo</t>
        </is>
      </c>
      <c r="C89" t="n">
        <v>13</v>
      </c>
      <c r="D89" t="n">
        <v>87</v>
      </c>
      <c r="E89" s="3" t="n">
        <v>45687</v>
      </c>
      <c r="F89" t="inlineStr">
        <is>
          <t>Punto de Acuerdo</t>
        </is>
      </c>
      <c r="G89" t="inlineStr">
        <is>
          <t>Acuerdo por el que se exhorta a la persona titular de la secretaría del trabajo y previsión social del gobierno federal, para que en el ámbito de su competencia y de manera coordinada con la secretaría de desarrollo económico y trabajo del estado de , así como con la iniciativa privada; diseñe, conduzca y evalúe programas específicos para generar oportunidades de empleo para jóvenes y grupos en situación vulnerable</t>
        </is>
      </c>
      <c r="H89" t="n">
        <v>16</v>
      </c>
      <c r="I89" t="inlineStr">
        <is>
          <t>Trabajo y Previsión Social</t>
        </is>
      </c>
      <c r="J89" t="n">
        <v>39</v>
      </c>
      <c r="K89" t="n">
        <v>0</v>
      </c>
      <c r="L89" t="n">
        <v>0</v>
      </c>
      <c r="M89" t="n">
        <v>2</v>
      </c>
      <c r="N89">
        <f>SUM(J89:M89)</f>
        <v/>
      </c>
      <c r="O89" s="4">
        <f>SUM(J89:L89)/SUM(J89:M89)</f>
        <v/>
      </c>
      <c r="P89" s="5">
        <f>MAX(J89:L89)/SUM(J89:L89)</f>
        <v/>
      </c>
    </row>
    <row r="90">
      <c r="A90" t="inlineStr">
        <is>
          <t>Primer año</t>
        </is>
      </c>
      <c r="B90" t="inlineStr">
        <is>
          <t>Segundo periodo</t>
        </is>
      </c>
      <c r="C90" t="n">
        <v>14</v>
      </c>
      <c r="D90" t="n">
        <v>88</v>
      </c>
      <c r="E90" s="3" t="n">
        <v>45687</v>
      </c>
      <c r="F90" t="inlineStr">
        <is>
          <t>Punto de Acuerdo</t>
        </is>
      </c>
      <c r="G90" t="inlineStr">
        <is>
          <t>Acuerdo por el que se exhorta a la secretaría de educación del estado, para que de forma permanente revise y actualice el protocolo para la prevención, detección, atención y en su caso sanción, por hechos de hostigamiento sexual, abuso sexual, discriminación, acoso, maltrato y violencia en contra de niñas, adolescentes y mujeres de instituciones educativas oficiales y particulares incorporadas a la secretaría, observando lo dispuesto por los instrumentos internacionales y nacionales en materia de protección y combate de la violencia en contra de niñas, niños, adolescentes y mujeres, entre otros resolutivos</t>
        </is>
      </c>
      <c r="H90" t="n">
        <v>20</v>
      </c>
      <c r="I90" t="inlineStr">
        <is>
          <t>Justicia y Estado de Derecho en temas de Mujeres</t>
        </is>
      </c>
      <c r="J90" t="n">
        <v>39</v>
      </c>
      <c r="K90" t="n">
        <v>0</v>
      </c>
      <c r="L90" t="n">
        <v>0</v>
      </c>
      <c r="M90" t="n">
        <v>2</v>
      </c>
      <c r="N90">
        <f>SUM(J90:M90)</f>
        <v/>
      </c>
      <c r="O90" s="4">
        <f>SUM(J90:L90)/SUM(J90:M90)</f>
        <v/>
      </c>
      <c r="P90" s="5">
        <f>MAX(J90:L90)/SUM(J90:L90)</f>
        <v/>
      </c>
    </row>
    <row r="91">
      <c r="A91" t="inlineStr">
        <is>
          <t>Primer año</t>
        </is>
      </c>
      <c r="B91" t="inlineStr">
        <is>
          <t>Segundo periodo</t>
        </is>
      </c>
      <c r="C91" t="n">
        <v>15</v>
      </c>
      <c r="D91" t="n">
        <v>89</v>
      </c>
      <c r="E91" s="3" t="n">
        <v>45694</v>
      </c>
      <c r="F91" t="inlineStr">
        <is>
          <t>Punto de Acuerdo</t>
        </is>
      </c>
      <c r="G91" t="inlineStr">
        <is>
          <t>Acuerdo por el cual exhorta de manera respetuosa a la delegación de la Procuraduría Federal del Consumidor para que, en el ámbito de su competencia, verifique que los establecimientos comerciales de la entidad respeten sus precios y promociones y se asegure de que estén debidamente registrados y dados de alta; reciba y atienda en tiempo y forma las quejas y denuncias presentadas por las personas consumidoras e implementen medios de comunicación eficientes que permitan la atención de asesoría y la recepción de denuncias y reclamaciones en línea, en materia de consumo</t>
        </is>
      </c>
      <c r="H91" t="n">
        <v>1</v>
      </c>
      <c r="I91" t="inlineStr">
        <is>
          <t>Economía, Comercio y Competitividad</t>
        </is>
      </c>
      <c r="J91" t="n">
        <v>37</v>
      </c>
      <c r="K91" t="n">
        <v>0</v>
      </c>
      <c r="L91" t="n">
        <v>0</v>
      </c>
      <c r="M91" t="n">
        <v>4</v>
      </c>
      <c r="N91">
        <f>SUM(J91:M91)</f>
        <v/>
      </c>
      <c r="O91" s="4">
        <f>SUM(J91:L91)/SUM(J91:M91)</f>
        <v/>
      </c>
      <c r="P91" s="5">
        <f>MAX(J91:L91)/SUM(J91:L91)</f>
        <v/>
      </c>
    </row>
    <row r="92">
      <c r="A92" t="inlineStr">
        <is>
          <t>Primer año</t>
        </is>
      </c>
      <c r="B92" t="inlineStr">
        <is>
          <t>Segundo periodo</t>
        </is>
      </c>
      <c r="C92" t="n">
        <v>16</v>
      </c>
      <c r="D92" t="n">
        <v>90</v>
      </c>
      <c r="E92" s="3" t="n">
        <v>45694</v>
      </c>
      <c r="F92" t="inlineStr">
        <is>
          <t>Punto de Acuerdo</t>
        </is>
      </c>
      <c r="G92" t="inlineStr">
        <is>
          <t>Acuerdo por el cual exhorta respetuosamente a las personas titulares de los doscientos trece ayuntamientos y a los cuatro concejos municipales del estado de Puebla para que, de conformidad con la ley de obra pública y servicios relacionados con la misma para el estado de Puebla, constituyan y formalicen sus comités de obras públicas en aquellos municipios donde aún no existan, asegurando con ello la transparencia y eficacia en la administración de los recursos destinados en dicha materia, entre otro resolutivo</t>
        </is>
      </c>
      <c r="H92" t="n">
        <v>18</v>
      </c>
      <c r="I92" t="inlineStr">
        <is>
          <t>Administración Pública</t>
        </is>
      </c>
      <c r="J92" t="n">
        <v>37</v>
      </c>
      <c r="K92" t="n">
        <v>0</v>
      </c>
      <c r="L92" t="n">
        <v>0</v>
      </c>
      <c r="M92" t="n">
        <v>4</v>
      </c>
      <c r="N92">
        <f>SUM(J92:M92)</f>
        <v/>
      </c>
      <c r="O92" s="4">
        <f>SUM(J92:L92)/SUM(J92:M92)</f>
        <v/>
      </c>
      <c r="P92" s="5">
        <f>MAX(J92:L92)/SUM(J92:L92)</f>
        <v/>
      </c>
    </row>
    <row r="93">
      <c r="A93" t="inlineStr">
        <is>
          <t>Primer año</t>
        </is>
      </c>
      <c r="B93" t="inlineStr">
        <is>
          <t>Segundo periodo</t>
        </is>
      </c>
      <c r="C93" t="n">
        <v>17</v>
      </c>
      <c r="D93" t="n">
        <v>91</v>
      </c>
      <c r="E93" s="3" t="n">
        <v>45701</v>
      </c>
      <c r="F93" t="inlineStr">
        <is>
          <t>Punto de Acuerdo</t>
        </is>
      </c>
      <c r="G93" t="inlineStr">
        <is>
          <t>Acuerdo por el cual el pleno del honorable congreso del estado, la persona para ocupar el cargo de titular del órgano interno de control de la comisión de derechos humanos del estado de</t>
        </is>
      </c>
      <c r="H93" t="n">
        <v>18</v>
      </c>
      <c r="I93" t="inlineStr">
        <is>
          <t>Administración Pública</t>
        </is>
      </c>
      <c r="J93" t="n">
        <v>35</v>
      </c>
      <c r="K93" t="n">
        <v>5</v>
      </c>
      <c r="L93" t="n">
        <v>1</v>
      </c>
      <c r="M93" t="n">
        <v>0</v>
      </c>
      <c r="N93">
        <f>SUM(J93:M93)</f>
        <v/>
      </c>
      <c r="O93" s="4">
        <f>SUM(J93:L93)/SUM(J93:M93)</f>
        <v/>
      </c>
      <c r="P93" s="5">
        <f>MAX(J93:L93)/SUM(J93:L93)</f>
        <v/>
      </c>
    </row>
    <row r="94">
      <c r="A94" t="inlineStr">
        <is>
          <t>Primer año</t>
        </is>
      </c>
      <c r="B94" t="inlineStr">
        <is>
          <t>Segundo periodo</t>
        </is>
      </c>
      <c r="C94" t="n">
        <v>18</v>
      </c>
      <c r="D94" t="n">
        <v>92</v>
      </c>
      <c r="E94" s="3" t="n">
        <v>45701</v>
      </c>
      <c r="F94" t="inlineStr">
        <is>
          <t>Punto de Acuerdo</t>
        </is>
      </c>
      <c r="G94" t="inlineStr">
        <is>
          <t>Acuerdo por el cual el pleno del honorable congreso del estado, la persona para ocupar el cargo de titular del órgano interno de control de la fiscalía general del estado</t>
        </is>
      </c>
      <c r="H94" t="n">
        <v>18</v>
      </c>
      <c r="I94" t="inlineStr">
        <is>
          <t>Administración Pública</t>
        </is>
      </c>
      <c r="J94" t="n">
        <v>35</v>
      </c>
      <c r="K94" t="n">
        <v>5</v>
      </c>
      <c r="L94" t="n">
        <v>1</v>
      </c>
      <c r="M94" t="n">
        <v>0</v>
      </c>
      <c r="N94">
        <f>SUM(J94:M94)</f>
        <v/>
      </c>
      <c r="O94" s="4">
        <f>SUM(J94:L94)/SUM(J94:M94)</f>
        <v/>
      </c>
      <c r="P94" s="5">
        <f>MAX(J94:L94)/SUM(J94:L94)</f>
        <v/>
      </c>
    </row>
    <row r="95">
      <c r="A95" t="inlineStr">
        <is>
          <t>Primer año</t>
        </is>
      </c>
      <c r="B95" t="inlineStr">
        <is>
          <t>Segundo periodo</t>
        </is>
      </c>
      <c r="C95" t="n">
        <v>19</v>
      </c>
      <c r="D95" t="n">
        <v>93</v>
      </c>
      <c r="E95" s="3" t="n">
        <v>45701</v>
      </c>
      <c r="F95" t="inlineStr">
        <is>
          <t>Punto de Acuerdo</t>
        </is>
      </c>
      <c r="G95" t="inlineStr">
        <is>
          <t>Acuerdo por el cual el pleno del honorable congreso del estado, la persona para ocupar el cargo de titular del órgano interno de control del instituto de transparencia, acceso a la información pública y protección de datos personales del estado de</t>
        </is>
      </c>
      <c r="H95" t="n">
        <v>10</v>
      </c>
      <c r="I95" t="inlineStr">
        <is>
          <t>Transparencia y Rendición de Cuentas</t>
        </is>
      </c>
      <c r="J95" t="n">
        <v>35</v>
      </c>
      <c r="K95" t="n">
        <v>5</v>
      </c>
      <c r="L95" t="n">
        <v>1</v>
      </c>
      <c r="M95" t="n">
        <v>0</v>
      </c>
      <c r="N95">
        <f>SUM(J95:M95)</f>
        <v/>
      </c>
      <c r="O95" s="4">
        <f>SUM(J95:L95)/SUM(J95:M95)</f>
        <v/>
      </c>
      <c r="P95" s="5">
        <f>MAX(J95:L95)/SUM(J95:L95)</f>
        <v/>
      </c>
    </row>
    <row r="96">
      <c r="A96" t="inlineStr">
        <is>
          <t>Primer año</t>
        </is>
      </c>
      <c r="B96" t="inlineStr">
        <is>
          <t>Segundo periodo</t>
        </is>
      </c>
      <c r="C96" t="n">
        <v>20</v>
      </c>
      <c r="D96" t="n">
        <v>94</v>
      </c>
      <c r="E96" s="3" t="n">
        <v>45701</v>
      </c>
      <c r="F96" t="inlineStr">
        <is>
          <t>Punto de Acuerdo</t>
        </is>
      </c>
      <c r="G96" t="inlineStr">
        <is>
          <t>Acuerdo por el cual la lista de las cinco personas que integraran el consejo consultivo de la comisión de derechos humanos del estado de</t>
        </is>
      </c>
      <c r="H96" t="n">
        <v>18</v>
      </c>
      <c r="I96" t="inlineStr">
        <is>
          <t>Administración Pública</t>
        </is>
      </c>
      <c r="J96" t="n">
        <v>34</v>
      </c>
      <c r="K96" t="n">
        <v>5</v>
      </c>
      <c r="L96" t="n">
        <v>0</v>
      </c>
      <c r="M96" t="n">
        <v>2</v>
      </c>
      <c r="N96">
        <f>SUM(J96:M96)</f>
        <v/>
      </c>
      <c r="O96" s="4">
        <f>SUM(J96:L96)/SUM(J96:M96)</f>
        <v/>
      </c>
      <c r="P96" s="5">
        <f>MAX(J96:L96)/SUM(J96:L96)</f>
        <v/>
      </c>
    </row>
    <row r="97">
      <c r="A97" t="inlineStr">
        <is>
          <t>Primer año</t>
        </is>
      </c>
      <c r="B97" t="inlineStr">
        <is>
          <t>Segundo periodo</t>
        </is>
      </c>
      <c r="C97" t="n">
        <v>21</v>
      </c>
      <c r="D97" t="n">
        <v>95</v>
      </c>
      <c r="E97" s="3" t="n">
        <v>45701</v>
      </c>
      <c r="F97" t="inlineStr">
        <is>
          <t>Punto de Acuerdo</t>
        </is>
      </c>
      <c r="G97" t="inlineStr">
        <is>
          <t>Acuerdo por el que se exhorta a la secretaría de bienestar del estado y al sistema para el desarrollo integral de la familia del estado de</t>
        </is>
      </c>
      <c r="H97" t="n">
        <v>2</v>
      </c>
      <c r="I97" t="inlineStr">
        <is>
          <t>Pobreza y Política Social</t>
        </is>
      </c>
      <c r="J97" t="n">
        <v>41</v>
      </c>
      <c r="K97" t="n">
        <v>0</v>
      </c>
      <c r="L97" t="n">
        <v>0</v>
      </c>
      <c r="M97" t="n">
        <v>0</v>
      </c>
      <c r="N97">
        <f>SUM(J97:M97)</f>
        <v/>
      </c>
      <c r="O97" s="4">
        <f>SUM(J97:L97)/SUM(J97:M97)</f>
        <v/>
      </c>
      <c r="P97" s="5">
        <f>MAX(J97:L97)/SUM(J97:L97)</f>
        <v/>
      </c>
    </row>
    <row r="98">
      <c r="A98" t="inlineStr">
        <is>
          <t>Primer año</t>
        </is>
      </c>
      <c r="B98" t="inlineStr">
        <is>
          <t>Segundo periodo</t>
        </is>
      </c>
      <c r="C98" t="n">
        <v>22</v>
      </c>
      <c r="D98" t="n">
        <v>96</v>
      </c>
      <c r="E98" s="3" t="n">
        <v>45708</v>
      </c>
      <c r="F98" t="inlineStr">
        <is>
          <t>Punto de Acuerdo</t>
        </is>
      </c>
      <c r="G98" t="inlineStr">
        <is>
          <t>Acuerdo para la elección e integración de las propuestas para la sustitución e integración de la secretaría y de las vocalías de las comisiones generales</t>
        </is>
      </c>
      <c r="H98" t="n">
        <v>19</v>
      </c>
      <c r="I98" t="inlineStr">
        <is>
          <t>Internos del Congreso</t>
        </is>
      </c>
      <c r="J98" t="n">
        <v>40</v>
      </c>
      <c r="K98" t="n">
        <v>0</v>
      </c>
      <c r="L98" t="n">
        <v>0</v>
      </c>
      <c r="M98" t="n">
        <v>1</v>
      </c>
      <c r="N98">
        <f>SUM(J98:M98)</f>
        <v/>
      </c>
      <c r="O98" s="4">
        <f>SUM(J98:L98)/SUM(J98:M98)</f>
        <v/>
      </c>
      <c r="P98" s="5">
        <f>MAX(J98:L98)/SUM(J98:L98)</f>
        <v/>
      </c>
    </row>
    <row r="99">
      <c r="A99" t="inlineStr">
        <is>
          <t>Primer año</t>
        </is>
      </c>
      <c r="B99" t="inlineStr">
        <is>
          <t>Segundo periodo</t>
        </is>
      </c>
      <c r="C99" t="n">
        <v>23</v>
      </c>
      <c r="D99" t="n">
        <v>97</v>
      </c>
      <c r="E99" s="3" t="n">
        <v>45708</v>
      </c>
      <c r="F99" t="inlineStr">
        <is>
          <t>Punto de Acuerdo</t>
        </is>
      </c>
      <c r="G99" t="inlineStr">
        <is>
          <t>Acuerdo para la elección e integración de las propuestas para la sustitución en la integración de las vocalías y la presidencia de los comités de adquisiciones, atención ciudadana y diario de debates</t>
        </is>
      </c>
      <c r="H99" t="n">
        <v>19</v>
      </c>
      <c r="I99" t="inlineStr">
        <is>
          <t>Internos del Congreso</t>
        </is>
      </c>
      <c r="J99" t="n">
        <v>38</v>
      </c>
      <c r="K99" t="n">
        <v>0</v>
      </c>
      <c r="L99" t="n">
        <v>1</v>
      </c>
      <c r="M99" t="n">
        <v>2</v>
      </c>
      <c r="N99">
        <f>SUM(J99:M99)</f>
        <v/>
      </c>
      <c r="O99" s="4">
        <f>SUM(J99:L99)/SUM(J99:M99)</f>
        <v/>
      </c>
      <c r="P99" s="5">
        <f>MAX(J99:L99)/SUM(J99:L99)</f>
        <v/>
      </c>
    </row>
    <row r="100">
      <c r="A100" t="inlineStr">
        <is>
          <t>Primer año</t>
        </is>
      </c>
      <c r="B100" t="inlineStr">
        <is>
          <t>Segundo periodo</t>
        </is>
      </c>
      <c r="C100" t="n">
        <v>24</v>
      </c>
      <c r="D100" t="n">
        <v>98</v>
      </c>
      <c r="E100" s="3" t="n">
        <v>45708</v>
      </c>
      <c r="F100" t="inlineStr">
        <is>
          <t>Punto de Acuerdo</t>
        </is>
      </c>
      <c r="G100" t="inlineStr">
        <is>
          <t>Acuerdo por el cual la ratificación del nombramiento del ciudadano Alejandro Espidio Reyes como titular de la secretaría anticorrupción y buen gobierno</t>
        </is>
      </c>
      <c r="H100" t="n">
        <v>18</v>
      </c>
      <c r="I100" t="inlineStr">
        <is>
          <t>Administración Pública</t>
        </is>
      </c>
      <c r="J100" t="n">
        <v>41</v>
      </c>
      <c r="K100" t="n">
        <v>0</v>
      </c>
      <c r="L100" t="n">
        <v>0</v>
      </c>
      <c r="M100" t="n">
        <v>0</v>
      </c>
      <c r="N100">
        <f>SUM(J100:M100)</f>
        <v/>
      </c>
      <c r="O100" s="4">
        <f>SUM(J100:L100)/SUM(J100:M100)</f>
        <v/>
      </c>
      <c r="P100" s="5">
        <f>MAX(J100:L100)/SUM(J100:L100)</f>
        <v/>
      </c>
    </row>
    <row r="101">
      <c r="A101" t="inlineStr">
        <is>
          <t>Primer año</t>
        </is>
      </c>
      <c r="B101" t="inlineStr">
        <is>
          <t>Segundo periodo</t>
        </is>
      </c>
      <c r="C101" t="n">
        <v>25</v>
      </c>
      <c r="D101" t="n">
        <v>99</v>
      </c>
      <c r="E101" s="3" t="n">
        <v>45708</v>
      </c>
      <c r="F101" t="inlineStr">
        <is>
          <t>Iniciativa</t>
        </is>
      </c>
      <c r="G101" t="inlineStr">
        <is>
          <t>Dictamen con minuta de decreto por el cual se reforman y derogan diversas disposiciones de la ley orgánica de la administración pública del estado, ley de movilidad y seguridad vial y ley de transporte</t>
        </is>
      </c>
      <c r="H101" t="n">
        <v>11</v>
      </c>
      <c r="I101" t="inlineStr">
        <is>
          <t>Infraestructura, Movilidad y Transporte</t>
        </is>
      </c>
      <c r="J101" t="n">
        <v>41</v>
      </c>
      <c r="K101" t="n">
        <v>0</v>
      </c>
      <c r="L101" t="n">
        <v>0</v>
      </c>
      <c r="M101" t="n">
        <v>0</v>
      </c>
      <c r="N101">
        <f>SUM(J101:M101)</f>
        <v/>
      </c>
      <c r="O101" s="4">
        <f>SUM(J101:L101)/SUM(J101:M101)</f>
        <v/>
      </c>
      <c r="P101" s="5">
        <f>MAX(J101:L101)/SUM(J101:L101)</f>
        <v/>
      </c>
    </row>
    <row r="102">
      <c r="A102" t="inlineStr">
        <is>
          <t>Primer año</t>
        </is>
      </c>
      <c r="B102" t="inlineStr">
        <is>
          <t>Segundo periodo</t>
        </is>
      </c>
      <c r="C102" t="n">
        <v>26</v>
      </c>
      <c r="D102" t="n">
        <v>100</v>
      </c>
      <c r="E102" s="3" t="n">
        <v>45708</v>
      </c>
      <c r="F102" t="inlineStr">
        <is>
          <t>Iniciativa</t>
        </is>
      </c>
      <c r="G102" t="inlineStr">
        <is>
          <t>Dictamen con minuta de decreto por el cual se declara el 7 de marzo de cada año, como el “día de las trabajadoras y trabajadores de la industria textil poblana”</t>
        </is>
      </c>
      <c r="H102" t="n">
        <v>8</v>
      </c>
      <c r="I102" t="inlineStr">
        <is>
          <t>Educación y Cultura</t>
        </is>
      </c>
      <c r="J102" t="n">
        <v>41</v>
      </c>
      <c r="K102" t="n">
        <v>0</v>
      </c>
      <c r="L102" t="n">
        <v>0</v>
      </c>
      <c r="M102" t="n">
        <v>0</v>
      </c>
      <c r="N102">
        <f>SUM(J102:M102)</f>
        <v/>
      </c>
      <c r="O102" s="4">
        <f>SUM(J102:L102)/SUM(J102:M102)</f>
        <v/>
      </c>
      <c r="P102" s="5">
        <f>MAX(J102:L102)/SUM(J102:L102)</f>
        <v/>
      </c>
    </row>
    <row r="103">
      <c r="A103" t="inlineStr">
        <is>
          <t>Primer año</t>
        </is>
      </c>
      <c r="B103" t="inlineStr">
        <is>
          <t>Segundo periodo</t>
        </is>
      </c>
      <c r="C103" t="n">
        <v>27</v>
      </c>
      <c r="D103" t="n">
        <v>101</v>
      </c>
      <c r="E103" s="3" t="n">
        <v>45708</v>
      </c>
      <c r="F103" t="inlineStr">
        <is>
          <t>Punto de Acuerdo</t>
        </is>
      </c>
      <c r="G103" t="inlineStr">
        <is>
          <t>Acuerdo por el que se exhorta al consejo general del instituto nacional electoral para realizar acciones y ajustes necesarios en el proceso electoral judicial 2025</t>
        </is>
      </c>
      <c r="H103" t="n">
        <v>4</v>
      </c>
      <c r="I103" t="inlineStr">
        <is>
          <t>Partidos Políticos y Elecciones</t>
        </is>
      </c>
      <c r="J103" t="n">
        <v>35</v>
      </c>
      <c r="K103" t="n">
        <v>0</v>
      </c>
      <c r="L103" t="n">
        <v>6</v>
      </c>
      <c r="M103" t="n">
        <v>0</v>
      </c>
      <c r="N103">
        <f>SUM(J103:M103)</f>
        <v/>
      </c>
      <c r="O103" s="4">
        <f>SUM(J103:L103)/SUM(J103:M103)</f>
        <v/>
      </c>
      <c r="P103" s="5">
        <f>MAX(J103:L103)/SUM(J103:L103)</f>
        <v/>
      </c>
    </row>
    <row r="104">
      <c r="A104" t="inlineStr">
        <is>
          <t>Primer año</t>
        </is>
      </c>
      <c r="B104" t="inlineStr">
        <is>
          <t>Segundo periodo</t>
        </is>
      </c>
      <c r="C104" t="n">
        <v>28</v>
      </c>
      <c r="D104" t="n">
        <v>102</v>
      </c>
      <c r="E104" s="3" t="n">
        <v>45715</v>
      </c>
      <c r="F104" t="inlineStr">
        <is>
          <t>Iniciativa</t>
        </is>
      </c>
      <c r="G104" t="inlineStr">
        <is>
          <t>Dictamen con minuta de decreto por el cual se reforman las fracciones XLIII y XLIV del artículo 34, se adiciona la fracción XLV al artículo 34 y se deroga la fracción LXXVII del artículo 33 de la ley orgánica de la administración pública del estado</t>
        </is>
      </c>
      <c r="H104" t="n">
        <v>18</v>
      </c>
      <c r="I104" t="inlineStr">
        <is>
          <t>Administración Pública</t>
        </is>
      </c>
      <c r="J104" t="n">
        <v>31</v>
      </c>
      <c r="K104" t="n">
        <v>2</v>
      </c>
      <c r="L104" t="n">
        <v>5</v>
      </c>
      <c r="M104" t="n">
        <v>3</v>
      </c>
      <c r="N104">
        <f>SUM(J104:M104)</f>
        <v/>
      </c>
      <c r="O104" s="4">
        <f>SUM(J104:L104)/SUM(J104:M104)</f>
        <v/>
      </c>
      <c r="P104" s="5">
        <f>MAX(J104:L104)/SUM(J104:L104)</f>
        <v/>
      </c>
    </row>
    <row r="105">
      <c r="A105" t="inlineStr">
        <is>
          <t>Primer año</t>
        </is>
      </c>
      <c r="B105" t="inlineStr">
        <is>
          <t>Segundo periodo</t>
        </is>
      </c>
      <c r="C105" t="n">
        <v>29</v>
      </c>
      <c r="D105" t="n">
        <v>103</v>
      </c>
      <c r="E105" s="3" t="n">
        <v>45715</v>
      </c>
      <c r="F105" t="inlineStr">
        <is>
          <t>Iniciativa</t>
        </is>
      </c>
      <c r="G105" t="inlineStr">
        <is>
          <t>Dictamen con minuta de decreto por el cual se crea el organismo público descentralizado denominado “universidad del deporte del estado de ”</t>
        </is>
      </c>
      <c r="H105" t="n">
        <v>8</v>
      </c>
      <c r="I105" t="inlineStr">
        <is>
          <t>Educación y Cultura</t>
        </is>
      </c>
      <c r="J105" t="n">
        <v>41</v>
      </c>
      <c r="K105" t="n">
        <v>0</v>
      </c>
      <c r="L105" t="n">
        <v>0</v>
      </c>
      <c r="M105" t="n">
        <v>0</v>
      </c>
      <c r="N105">
        <f>SUM(J105:M105)</f>
        <v/>
      </c>
      <c r="O105" s="4">
        <f>SUM(J105:L105)/SUM(J105:M105)</f>
        <v/>
      </c>
      <c r="P105" s="5">
        <f>MAX(J105:L105)/SUM(J105:L105)</f>
        <v/>
      </c>
    </row>
    <row r="106">
      <c r="A106" t="inlineStr">
        <is>
          <t>Primer año</t>
        </is>
      </c>
      <c r="B106" t="inlineStr">
        <is>
          <t>Segundo periodo</t>
        </is>
      </c>
      <c r="C106" t="n">
        <v>30</v>
      </c>
      <c r="D106" t="n">
        <v>104</v>
      </c>
      <c r="E106" s="3" t="n">
        <v>45715</v>
      </c>
      <c r="F106" t="inlineStr">
        <is>
          <t>Punto de Acuerdo</t>
        </is>
      </c>
      <c r="G106" t="inlineStr">
        <is>
          <t>Acuerdo por el que se exhorta a los doscientos trece ayuntamientos y a los cuatro concejos municipales del estado, para que integren en el comité municipal de adjudicaciones a una persona representante del sector social, una persona de las organizaciones vecinales y otra del sector privado</t>
        </is>
      </c>
      <c r="H106" t="n">
        <v>10</v>
      </c>
      <c r="I106" t="inlineStr">
        <is>
          <t>Transparencia y Rendición de Cuentas</t>
        </is>
      </c>
      <c r="J106" t="n">
        <v>39</v>
      </c>
      <c r="K106" t="n">
        <v>0</v>
      </c>
      <c r="L106" t="n">
        <v>0</v>
      </c>
      <c r="M106" t="n">
        <v>2</v>
      </c>
      <c r="N106">
        <f>SUM(J106:M106)</f>
        <v/>
      </c>
      <c r="O106" s="4">
        <f>SUM(J106:L106)/SUM(J106:M106)</f>
        <v/>
      </c>
      <c r="P106" s="5">
        <f>MAX(J106:L106)/SUM(J106:L106)</f>
        <v/>
      </c>
    </row>
    <row r="107">
      <c r="A107" t="inlineStr">
        <is>
          <t>Primer año</t>
        </is>
      </c>
      <c r="B107" t="inlineStr">
        <is>
          <t>Segundo periodo</t>
        </is>
      </c>
      <c r="C107" t="n">
        <v>31</v>
      </c>
      <c r="D107" t="n">
        <v>105</v>
      </c>
      <c r="E107" s="3" t="n">
        <v>45715</v>
      </c>
      <c r="F107" t="inlineStr">
        <is>
          <t>Punto de Acuerdo</t>
        </is>
      </c>
      <c r="G107" t="inlineStr">
        <is>
          <t>Acuerdo por el cual se exhorta a los doscientos trece ayuntamientos y a los cuatro concejos municipales del estado, para que a la brevedad instalen sus sistemas de protección integral de los derechos de niñas, niños y adolescentes</t>
        </is>
      </c>
      <c r="H107" t="n">
        <v>2</v>
      </c>
      <c r="I107" t="inlineStr">
        <is>
          <t>Pobreza y Política Social</t>
        </is>
      </c>
      <c r="J107" t="n">
        <v>40</v>
      </c>
      <c r="K107" t="n">
        <v>0</v>
      </c>
      <c r="L107" t="n">
        <v>0</v>
      </c>
      <c r="M107" t="n">
        <v>1</v>
      </c>
      <c r="N107">
        <f>SUM(J107:M107)</f>
        <v/>
      </c>
      <c r="O107" s="4">
        <f>SUM(J107:L107)/SUM(J107:M107)</f>
        <v/>
      </c>
      <c r="P107" s="5">
        <f>MAX(J107:L107)/SUM(J107:L107)</f>
        <v/>
      </c>
    </row>
    <row r="108">
      <c r="A108" t="inlineStr">
        <is>
          <t>Primer año</t>
        </is>
      </c>
      <c r="B108" t="inlineStr">
        <is>
          <t>Segundo periodo</t>
        </is>
      </c>
      <c r="C108" t="n">
        <v>32</v>
      </c>
      <c r="D108" t="n">
        <v>106</v>
      </c>
      <c r="E108" s="3" t="n">
        <v>45715</v>
      </c>
      <c r="F108" t="inlineStr">
        <is>
          <t>Punto de Acuerdo</t>
        </is>
      </c>
      <c r="G108" t="inlineStr">
        <is>
          <t>Acuerdo por el cual se exhorta a los doscientos trece ayuntamientos y a los cuatro concejos municipales del estado, para que revisen y, en su caso, adecuen sus portales electrónicos oficiales</t>
        </is>
      </c>
      <c r="H108" t="n">
        <v>10</v>
      </c>
      <c r="I108" t="inlineStr">
        <is>
          <t>Transparencia y Rendición de Cuentas</t>
        </is>
      </c>
      <c r="J108" t="n">
        <v>40</v>
      </c>
      <c r="K108" t="n">
        <v>0</v>
      </c>
      <c r="L108" t="n">
        <v>0</v>
      </c>
      <c r="M108" t="n">
        <v>1</v>
      </c>
      <c r="N108">
        <f>SUM(J108:M108)</f>
        <v/>
      </c>
      <c r="O108" s="4">
        <f>SUM(J108:L108)/SUM(J108:M108)</f>
        <v/>
      </c>
      <c r="P108" s="5">
        <f>MAX(J108:L108)/SUM(J108:L108)</f>
        <v/>
      </c>
    </row>
    <row r="109">
      <c r="A109" t="inlineStr">
        <is>
          <t>Primer año</t>
        </is>
      </c>
      <c r="B109" t="inlineStr">
        <is>
          <t>Segundo periodo</t>
        </is>
      </c>
      <c r="C109" t="n">
        <v>33</v>
      </c>
      <c r="D109" t="n">
        <v>107</v>
      </c>
      <c r="E109" s="3" t="n">
        <v>45715</v>
      </c>
      <c r="F109" t="inlineStr">
        <is>
          <t>Punto de Acuerdo</t>
        </is>
      </c>
      <c r="G109" t="inlineStr">
        <is>
          <t>Acuerdo por el cual se exhorta a los doscientos trece ayuntamientos y a los cuatro concejos municipales del estado, a fin de que respeten y den cumplimiento a los contratos, convenios, acuerdos y demás instrumentos jurídicos suscritos conforme a derecho</t>
        </is>
      </c>
      <c r="H109" t="n">
        <v>18</v>
      </c>
      <c r="I109" t="inlineStr">
        <is>
          <t>Administración Pública</t>
        </is>
      </c>
      <c r="J109" t="n">
        <v>40</v>
      </c>
      <c r="K109" t="n">
        <v>0</v>
      </c>
      <c r="L109" t="n">
        <v>0</v>
      </c>
      <c r="M109" t="n">
        <v>1</v>
      </c>
      <c r="N109">
        <f>SUM(J109:M109)</f>
        <v/>
      </c>
      <c r="O109" s="4">
        <f>SUM(J109:L109)/SUM(J109:M109)</f>
        <v/>
      </c>
      <c r="P109" s="5">
        <f>MAX(J109:L109)/SUM(J109:L109)</f>
        <v/>
      </c>
    </row>
    <row r="110">
      <c r="A110" t="inlineStr">
        <is>
          <t>Primer año</t>
        </is>
      </c>
      <c r="B110" t="inlineStr">
        <is>
          <t>Segundo periodo</t>
        </is>
      </c>
      <c r="C110" t="n">
        <v>34</v>
      </c>
      <c r="D110" t="n">
        <v>108</v>
      </c>
      <c r="E110" s="3" t="n">
        <v>45715</v>
      </c>
      <c r="F110" t="inlineStr">
        <is>
          <t>Punto de Acuerdo</t>
        </is>
      </c>
      <c r="G110" t="inlineStr">
        <is>
          <t>Acuerdo por el cual se exhorta a los doscientos trece ayuntamientos y a los cuatro concejos municipales del estado, para que en el ámbito de sus atribuciones realicen campañas de seguridad vial en sus demarcaciones</t>
        </is>
      </c>
      <c r="H110" t="n">
        <v>3</v>
      </c>
      <c r="I110" t="inlineStr">
        <is>
          <t>Seguridad Pública, Protección Civil y Narcotráfico</t>
        </is>
      </c>
      <c r="J110" t="n">
        <v>40</v>
      </c>
      <c r="K110" t="n">
        <v>0</v>
      </c>
      <c r="L110" t="n">
        <v>0</v>
      </c>
      <c r="M110" t="n">
        <v>1</v>
      </c>
      <c r="N110">
        <f>SUM(J110:M110)</f>
        <v/>
      </c>
      <c r="O110" s="4">
        <f>SUM(J110:L110)/SUM(J110:M110)</f>
        <v/>
      </c>
      <c r="P110" s="5">
        <f>MAX(J110:L110)/SUM(J110:L110)</f>
        <v/>
      </c>
    </row>
    <row r="111">
      <c r="A111" t="inlineStr">
        <is>
          <t>Primer año</t>
        </is>
      </c>
      <c r="B111" t="inlineStr">
        <is>
          <t>Segundo periodo</t>
        </is>
      </c>
      <c r="C111" t="n">
        <v>35</v>
      </c>
      <c r="D111" t="n">
        <v>109</v>
      </c>
      <c r="E111" s="3" t="n">
        <v>45715</v>
      </c>
      <c r="F111" t="inlineStr">
        <is>
          <t>Punto de Acuerdo</t>
        </is>
      </c>
      <c r="G111" t="inlineStr">
        <is>
          <t>Acuerdo por el cual se exhorta a los doscientos trece ayuntamientos y a los cuatro concejos municipales del estado, para que en ejercicio de sus atribuciones y conforme a la normatividad aplicable, realicen las acciones necesarias a fin de promover una cultura de la separación de la basura</t>
        </is>
      </c>
      <c r="H111" t="n">
        <v>5</v>
      </c>
      <c r="I111" t="inlineStr">
        <is>
          <t>Medio Ambiente</t>
        </is>
      </c>
      <c r="J111" t="n">
        <v>40</v>
      </c>
      <c r="K111" t="n">
        <v>0</v>
      </c>
      <c r="L111" t="n">
        <v>0</v>
      </c>
      <c r="M111" t="n">
        <v>1</v>
      </c>
      <c r="N111">
        <f>SUM(J111:M111)</f>
        <v/>
      </c>
      <c r="O111" s="4">
        <f>SUM(J111:L111)/SUM(J111:M111)</f>
        <v/>
      </c>
      <c r="P111" s="5">
        <f>MAX(J111:L111)/SUM(J111:L111)</f>
        <v/>
      </c>
    </row>
    <row r="112">
      <c r="A112" t="inlineStr">
        <is>
          <t>Primer año</t>
        </is>
      </c>
      <c r="B112" t="inlineStr">
        <is>
          <t>Segundo periodo</t>
        </is>
      </c>
      <c r="C112" t="n">
        <v>36</v>
      </c>
      <c r="D112" t="n">
        <v>110</v>
      </c>
      <c r="E112" s="3" t="n">
        <v>45715</v>
      </c>
      <c r="F112" t="inlineStr">
        <is>
          <t>Punto de Acuerdo</t>
        </is>
      </c>
      <c r="G112" t="inlineStr">
        <is>
          <t>Acuerdo por el cual se exhorta a los doscientos trece ayuntamientos y a los cuatro concejos municipales del estado, para que contraten exclusivamente a los prestadores de servicio de grúas, que cumplan con las condiciones y requisitos dispuestos por la ley</t>
        </is>
      </c>
      <c r="H112" t="n">
        <v>11</v>
      </c>
      <c r="I112" t="inlineStr">
        <is>
          <t>Infraestructura, Movilidad y Transporte</t>
        </is>
      </c>
      <c r="J112" t="n">
        <v>40</v>
      </c>
      <c r="K112" t="n">
        <v>0</v>
      </c>
      <c r="L112" t="n">
        <v>0</v>
      </c>
      <c r="M112" t="n">
        <v>1</v>
      </c>
      <c r="N112">
        <f>SUM(J112:M112)</f>
        <v/>
      </c>
      <c r="O112" s="4">
        <f>SUM(J112:L112)/SUM(J112:M112)</f>
        <v/>
      </c>
      <c r="P112" s="5">
        <f>MAX(J112:L112)/SUM(J112:L112)</f>
        <v/>
      </c>
    </row>
    <row r="113">
      <c r="A113" t="inlineStr">
        <is>
          <t>Primer año</t>
        </is>
      </c>
      <c r="B113" t="inlineStr">
        <is>
          <t>Segundo periodo</t>
        </is>
      </c>
      <c r="C113" t="n">
        <v>37</v>
      </c>
      <c r="D113" t="n">
        <v>111</v>
      </c>
      <c r="E113" s="3" t="n">
        <v>45715</v>
      </c>
      <c r="F113" t="inlineStr">
        <is>
          <t>Punto de Acuerdo</t>
        </is>
      </c>
      <c r="G113" t="inlineStr">
        <is>
          <t>Acuerdo por el que se exhorta a la secretaría de desarrollo económico y trabajo del estado, a la secretaría de deporte y juventud del estado, al tribunal superior de justicia del estado, así como a los doscientos trece ayuntamientos y a los cuatro concejos municipales de la entidad</t>
        </is>
      </c>
      <c r="H113" t="n">
        <v>16</v>
      </c>
      <c r="I113" t="inlineStr">
        <is>
          <t>Trabajo y Previsión Social</t>
        </is>
      </c>
      <c r="J113" t="n">
        <v>40</v>
      </c>
      <c r="K113" t="n">
        <v>0</v>
      </c>
      <c r="L113" t="n">
        <v>0</v>
      </c>
      <c r="M113" t="n">
        <v>1</v>
      </c>
      <c r="N113">
        <f>SUM(J113:M113)</f>
        <v/>
      </c>
      <c r="O113" s="4">
        <f>SUM(J113:L113)/SUM(J113:M113)</f>
        <v/>
      </c>
      <c r="P113" s="5">
        <f>MAX(J113:L113)/SUM(J113:L113)</f>
        <v/>
      </c>
    </row>
    <row r="114">
      <c r="A114" t="inlineStr">
        <is>
          <t>Primer año</t>
        </is>
      </c>
      <c r="B114" t="inlineStr">
        <is>
          <t>Segundo periodo</t>
        </is>
      </c>
      <c r="C114" t="n">
        <v>38</v>
      </c>
      <c r="D114" t="n">
        <v>112</v>
      </c>
      <c r="E114" s="3" t="n">
        <v>45727</v>
      </c>
      <c r="F114" t="inlineStr">
        <is>
          <t>Iniciativa</t>
        </is>
      </c>
      <c r="G114" t="inlineStr">
        <is>
          <t>Dictamen con minuta de decreto por el cual se reforman, adicionan y derogan diversas disposiciones de la constitución política del estado libre y soberano</t>
        </is>
      </c>
      <c r="H114" t="n">
        <v>14</v>
      </c>
      <c r="I114" t="inlineStr">
        <is>
          <t>Justicia y Estado de Derecho</t>
        </is>
      </c>
      <c r="J114" t="n">
        <v>39</v>
      </c>
      <c r="K114" t="n">
        <v>0</v>
      </c>
      <c r="L114" t="n">
        <v>0</v>
      </c>
      <c r="M114" t="n">
        <v>2</v>
      </c>
      <c r="N114">
        <f>SUM(J114:M114)</f>
        <v/>
      </c>
      <c r="O114" s="4">
        <f>SUM(J114:L114)/SUM(J114:M114)</f>
        <v/>
      </c>
      <c r="P114" s="5">
        <f>MAX(J114:L114)/SUM(J114:L114)</f>
        <v/>
      </c>
    </row>
    <row r="115">
      <c r="A115" t="inlineStr">
        <is>
          <t>Primer año</t>
        </is>
      </c>
      <c r="B115" t="inlineStr">
        <is>
          <t>Segundo periodo</t>
        </is>
      </c>
      <c r="C115" t="n">
        <v>39</v>
      </c>
      <c r="D115" t="n">
        <v>113</v>
      </c>
      <c r="E115" s="3" t="n">
        <v>45727</v>
      </c>
      <c r="F115" t="inlineStr">
        <is>
          <t>Iniciativa</t>
        </is>
      </c>
      <c r="G115" t="inlineStr">
        <is>
          <t>Dictamen con minuta de decreto por el cual los artículos reservados en materia del poder judicial estatal</t>
        </is>
      </c>
      <c r="H115" t="n">
        <v>14</v>
      </c>
      <c r="I115" t="inlineStr">
        <is>
          <t>Justicia y Estado de Derecho</t>
        </is>
      </c>
      <c r="J115" t="n">
        <v>32</v>
      </c>
      <c r="K115" t="n">
        <v>7</v>
      </c>
      <c r="L115" t="n">
        <v>0</v>
      </c>
      <c r="M115" t="n">
        <v>2</v>
      </c>
      <c r="N115">
        <f>SUM(J115:M115)</f>
        <v/>
      </c>
      <c r="O115" s="4">
        <f>SUM(J115:L115)/SUM(J115:M115)</f>
        <v/>
      </c>
      <c r="P115" s="5">
        <f>MAX(J115:L115)/SUM(J115:L115)</f>
        <v/>
      </c>
    </row>
    <row r="116">
      <c r="A116" t="inlineStr">
        <is>
          <t>Primer año</t>
        </is>
      </c>
      <c r="B116" t="inlineStr">
        <is>
          <t>Segundo periodo</t>
        </is>
      </c>
      <c r="C116" t="n">
        <v>40</v>
      </c>
      <c r="D116" t="n">
        <v>114</v>
      </c>
      <c r="E116" s="3" t="n">
        <v>45727</v>
      </c>
      <c r="F116" t="inlineStr">
        <is>
          <t>Iniciativa</t>
        </is>
      </c>
      <c r="G116" t="inlineStr">
        <is>
          <t>Dictamen con minuta de decreto por el cual se reforman y adicionan diversas disposiciones del código de instituciones y procesos electorales del estado</t>
        </is>
      </c>
      <c r="H116" t="n">
        <v>4</v>
      </c>
      <c r="I116" t="inlineStr">
        <is>
          <t>Partidos Políticos y Elecciones</t>
        </is>
      </c>
      <c r="J116" t="n">
        <v>39</v>
      </c>
      <c r="K116" t="n">
        <v>0</v>
      </c>
      <c r="L116" t="n">
        <v>0</v>
      </c>
      <c r="M116" t="n">
        <v>2</v>
      </c>
      <c r="N116">
        <f>SUM(J116:M116)</f>
        <v/>
      </c>
      <c r="O116" s="4">
        <f>SUM(J116:L116)/SUM(J116:M116)</f>
        <v/>
      </c>
      <c r="P116" s="5">
        <f>MAX(J116:L116)/SUM(J116:L116)</f>
        <v/>
      </c>
    </row>
    <row r="117">
      <c r="A117" t="inlineStr">
        <is>
          <t>Primer año</t>
        </is>
      </c>
      <c r="B117" t="inlineStr">
        <is>
          <t>Segundo periodo</t>
        </is>
      </c>
      <c r="C117" t="n">
        <v>41</v>
      </c>
      <c r="D117" t="n">
        <v>115</v>
      </c>
      <c r="E117" s="3" t="n">
        <v>45727</v>
      </c>
      <c r="F117" t="inlineStr">
        <is>
          <t>Iniciativa</t>
        </is>
      </c>
      <c r="G117" t="inlineStr">
        <is>
          <t>Dictamen con minuta de decreto por el cual se reforman y adicionan los artículos 55, 59, 82, 115, 116 y 122 de la constitución política de los, en materia de no reelección y nepotismo electoral</t>
        </is>
      </c>
      <c r="H117" t="n">
        <v>18</v>
      </c>
      <c r="I117" t="inlineStr">
        <is>
          <t>Administración Pública</t>
        </is>
      </c>
      <c r="J117" t="n">
        <v>39</v>
      </c>
      <c r="K117" t="n">
        <v>0</v>
      </c>
      <c r="L117" t="n">
        <v>0</v>
      </c>
      <c r="M117" t="n">
        <v>2</v>
      </c>
      <c r="N117">
        <f>SUM(J117:M117)</f>
        <v/>
      </c>
      <c r="O117" s="4">
        <f>SUM(J117:L117)/SUM(J117:M117)</f>
        <v/>
      </c>
      <c r="P117" s="5">
        <f>MAX(J117:L117)/SUM(J117:L117)</f>
        <v/>
      </c>
    </row>
    <row r="118">
      <c r="A118" t="inlineStr">
        <is>
          <t>Primer año</t>
        </is>
      </c>
      <c r="B118" t="inlineStr">
        <is>
          <t>Segundo periodo</t>
        </is>
      </c>
      <c r="C118" t="n">
        <v>42</v>
      </c>
      <c r="D118" t="n">
        <v>116</v>
      </c>
      <c r="E118" s="3" t="n">
        <v>45727</v>
      </c>
      <c r="F118" t="inlineStr">
        <is>
          <t>Iniciativa</t>
        </is>
      </c>
      <c r="G118" t="inlineStr">
        <is>
          <t>Dictamen con minuta de decreto por el cual se reforman y adicionan diversas disposiciones de los artículos 4º y 27 de la constitución política de los, en materia de conservación y protección de los maíces nativos</t>
        </is>
      </c>
      <c r="H118" t="n">
        <v>12</v>
      </c>
      <c r="I118" t="inlineStr">
        <is>
          <t>Agricultura, Ganadería y Pesca</t>
        </is>
      </c>
      <c r="J118" t="n">
        <v>34</v>
      </c>
      <c r="K118" t="n">
        <v>5</v>
      </c>
      <c r="L118" t="n">
        <v>0</v>
      </c>
      <c r="M118" t="n">
        <v>2</v>
      </c>
      <c r="N118">
        <f>SUM(J118:M118)</f>
        <v/>
      </c>
      <c r="O118" s="4">
        <f>SUM(J118:L118)/SUM(J118:M118)</f>
        <v/>
      </c>
      <c r="P118" s="5">
        <f>MAX(J118:L118)/SUM(J118:L118)</f>
        <v/>
      </c>
    </row>
    <row r="119">
      <c r="A119" t="inlineStr">
        <is>
          <t>Primer año</t>
        </is>
      </c>
      <c r="B119" t="inlineStr">
        <is>
          <t>Segundo periodo</t>
        </is>
      </c>
      <c r="C119" t="n">
        <v>43</v>
      </c>
      <c r="D119" t="n">
        <v>117</v>
      </c>
      <c r="E119" s="3" t="n">
        <v>45731</v>
      </c>
      <c r="F119" t="inlineStr">
        <is>
          <t>Punto de Acuerdo</t>
        </is>
      </c>
      <c r="G119" t="inlineStr">
        <is>
          <t>Acuerdo por el cual llevar a cabo las sesiones en el salón de plenos de este recinto legislativo</t>
        </is>
      </c>
      <c r="H119" t="n">
        <v>19</v>
      </c>
      <c r="I119" t="inlineStr">
        <is>
          <t>Internos del Congreso</t>
        </is>
      </c>
      <c r="J119" t="n">
        <v>41</v>
      </c>
      <c r="K119" t="n">
        <v>0</v>
      </c>
      <c r="L119" t="n">
        <v>0</v>
      </c>
      <c r="M119" t="n">
        <v>0</v>
      </c>
      <c r="N119">
        <f>SUM(J119:M119)</f>
        <v/>
      </c>
      <c r="O119" s="4">
        <f>SUM(J119:L119)/SUM(J119:M119)</f>
        <v/>
      </c>
      <c r="P119" s="5">
        <f>MAX(J119:L119)/SUM(J119:L119)</f>
        <v/>
      </c>
    </row>
    <row r="120">
      <c r="A120" t="inlineStr">
        <is>
          <t>Primer año</t>
        </is>
      </c>
      <c r="B120" t="inlineStr">
        <is>
          <t>Segundo periodo</t>
        </is>
      </c>
      <c r="C120" t="n">
        <v>44</v>
      </c>
      <c r="D120" t="n">
        <v>118</v>
      </c>
      <c r="E120" s="3" t="n">
        <v>45731</v>
      </c>
      <c r="F120" t="inlineStr">
        <is>
          <t>Iniciativa</t>
        </is>
      </c>
      <c r="G120" t="inlineStr">
        <is>
          <t>Dictamen con minuta Proyecto de decreto por el cual se adiciona un segundo párrafo al artículo 123 de la Constitución Política de los Estados Unidos Mexicanos, en materia de apoyo a jóvenes</t>
        </is>
      </c>
      <c r="H120" t="n">
        <v>16</v>
      </c>
      <c r="I120" t="inlineStr">
        <is>
          <t>Trabajo y Previsión Social</t>
        </is>
      </c>
      <c r="J120" t="n">
        <v>37</v>
      </c>
      <c r="K120" t="n">
        <v>0</v>
      </c>
      <c r="L120" t="n">
        <v>0</v>
      </c>
      <c r="M120" t="n">
        <v>4</v>
      </c>
      <c r="N120">
        <f>SUM(J120:M120)</f>
        <v/>
      </c>
      <c r="O120" s="4">
        <f>SUM(J120:L120)/SUM(J120:M120)</f>
        <v/>
      </c>
      <c r="P120" s="5">
        <f>MAX(J120:L120)/SUM(J120:L120)</f>
        <v/>
      </c>
    </row>
    <row r="121">
      <c r="A121" t="inlineStr">
        <is>
          <t>Primer año</t>
        </is>
      </c>
      <c r="B121" t="inlineStr">
        <is>
          <t>Segundo periodo</t>
        </is>
      </c>
      <c r="C121" t="n">
        <v>45</v>
      </c>
      <c r="D121" t="n">
        <v>119</v>
      </c>
      <c r="E121" s="3" t="n">
        <v>45731</v>
      </c>
      <c r="F121" t="inlineStr">
        <is>
          <t>Iniciativa</t>
        </is>
      </c>
      <c r="G121" t="inlineStr">
        <is>
          <t>Dictamen con minuta Proyecto de decreto por el cual se reforman y adicionan diversas disposiciones de la Constitución Política de los Estados Unidos Mexicanos, en materia de fortalecimiento de la soberanía nacional</t>
        </is>
      </c>
      <c r="H121" t="n">
        <v>18</v>
      </c>
      <c r="I121" t="inlineStr">
        <is>
          <t>Administración Pública</t>
        </is>
      </c>
      <c r="J121" t="n">
        <v>36</v>
      </c>
      <c r="K121" t="n">
        <v>1</v>
      </c>
      <c r="L121" t="n">
        <v>0</v>
      </c>
      <c r="M121" t="n">
        <v>4</v>
      </c>
      <c r="N121">
        <f>SUM(J121:M121)</f>
        <v/>
      </c>
      <c r="O121" s="4">
        <f>SUM(J121:L121)/SUM(J121:M121)</f>
        <v/>
      </c>
      <c r="P121" s="5">
        <f>MAX(J121:L121)/SUM(J121:L121)</f>
        <v/>
      </c>
    </row>
    <row r="122">
      <c r="A122" t="inlineStr">
        <is>
          <t>Primer año</t>
        </is>
      </c>
      <c r="B122" t="inlineStr">
        <is>
          <t>Segundo periodo</t>
        </is>
      </c>
      <c r="C122" t="n">
        <v>46</v>
      </c>
      <c r="D122" t="n">
        <v>120</v>
      </c>
      <c r="E122" s="3" t="n">
        <v>45731</v>
      </c>
      <c r="F122" t="inlineStr">
        <is>
          <t>Punto de Acuerdo</t>
        </is>
      </c>
      <c r="G122" t="inlineStr">
        <is>
          <t>Elección de la Mesa Directiva</t>
        </is>
      </c>
      <c r="H122" t="n">
        <v>19</v>
      </c>
      <c r="I122" t="inlineStr">
        <is>
          <t>Internos del Congreso</t>
        </is>
      </c>
      <c r="J122" t="n">
        <v>37</v>
      </c>
      <c r="K122" t="n">
        <v>0</v>
      </c>
      <c r="L122" t="n">
        <v>0</v>
      </c>
      <c r="M122" t="n">
        <v>4</v>
      </c>
      <c r="N122">
        <f>SUM(J122:M122)</f>
        <v/>
      </c>
      <c r="O122" s="4">
        <f>SUM(J122:L122)/SUM(J122:M122)</f>
        <v/>
      </c>
      <c r="P122" s="5">
        <f>MAX(J122:L122)/SUM(J122:L122)</f>
        <v/>
      </c>
    </row>
    <row r="123">
      <c r="A123" t="inlineStr">
        <is>
          <t>Primer año</t>
        </is>
      </c>
      <c r="B123" t="inlineStr">
        <is>
          <t>Segundo periodo</t>
        </is>
      </c>
      <c r="C123" t="n">
        <v>47</v>
      </c>
      <c r="D123" t="n">
        <v>121</v>
      </c>
      <c r="E123" s="3" t="n">
        <v>45731</v>
      </c>
      <c r="F123" t="inlineStr">
        <is>
          <t>Punto de Acuerdo</t>
        </is>
      </c>
      <c r="G123" t="inlineStr">
        <is>
          <t>Elección de los miembros de la Comisión Permanente</t>
        </is>
      </c>
      <c r="H123" t="n">
        <v>19</v>
      </c>
      <c r="I123" t="inlineStr">
        <is>
          <t>Internos del Congreso</t>
        </is>
      </c>
      <c r="J123" t="n">
        <v>37</v>
      </c>
      <c r="K123" t="n">
        <v>0</v>
      </c>
      <c r="L123" t="n">
        <v>0</v>
      </c>
      <c r="M123" t="n">
        <v>4</v>
      </c>
      <c r="N123">
        <f>SUM(J123:M123)</f>
        <v/>
      </c>
      <c r="O123" s="4">
        <f>SUM(J123:L123)/SUM(J123:M123)</f>
        <v/>
      </c>
      <c r="P123" s="5">
        <f>MAX(J123:L123)/SUM(J123:L123)</f>
        <v/>
      </c>
    </row>
    <row r="124">
      <c r="A124" t="inlineStr">
        <is>
          <t>Primer año</t>
        </is>
      </c>
      <c r="B124" t="inlineStr">
        <is>
          <t>Segundo periodo</t>
        </is>
      </c>
      <c r="C124" t="n">
        <v>48</v>
      </c>
      <c r="D124" t="n">
        <v>122</v>
      </c>
      <c r="E124" s="3" t="n">
        <v>45731</v>
      </c>
      <c r="F124" t="inlineStr">
        <is>
          <t>Iniciativa</t>
        </is>
      </c>
      <c r="G124" t="inlineStr">
        <is>
          <t>Dictamen con minuta de decreto por el cual se autoriza a los doscientos diecisiete municipios del estado para que durante la gestión de la administración municipal 2024-2027 gestionen y contraten financiamientos</t>
        </is>
      </c>
      <c r="H124" t="n">
        <v>7</v>
      </c>
      <c r="I124" t="inlineStr">
        <is>
          <t>Impuestos, Finanzas Públicas, Patrimonio estatal y municipal</t>
        </is>
      </c>
      <c r="J124" t="n">
        <v>36</v>
      </c>
      <c r="K124" t="n">
        <v>0</v>
      </c>
      <c r="L124" t="n">
        <v>1</v>
      </c>
      <c r="M124" t="n">
        <v>4</v>
      </c>
      <c r="N124">
        <f>SUM(J124:M124)</f>
        <v/>
      </c>
      <c r="O124" s="4">
        <f>SUM(J124:L124)/SUM(J124:M124)</f>
        <v/>
      </c>
      <c r="P124" s="5">
        <f>MAX(J124:L124)/SUM(J124:L124)</f>
        <v/>
      </c>
    </row>
    <row r="125">
      <c r="A125" t="inlineStr">
        <is>
          <t>Primer año</t>
        </is>
      </c>
      <c r="B125" t="inlineStr">
        <is>
          <t>Segundo periodo</t>
        </is>
      </c>
      <c r="C125" t="n">
        <v>49</v>
      </c>
      <c r="D125" t="n">
        <v>123</v>
      </c>
      <c r="E125" s="3" t="n">
        <v>45731</v>
      </c>
      <c r="F125" t="inlineStr">
        <is>
          <t>Iniciativa</t>
        </is>
      </c>
      <c r="G125" t="inlineStr">
        <is>
          <t>Dictamen con minuta de decreto por el cual se autoriza a los 217 municipios del estado para que durante la gestión de la administración municipal 2024-2027 gestionen y contraten financiamientos</t>
        </is>
      </c>
      <c r="H125" t="n">
        <v>7</v>
      </c>
      <c r="I125" t="inlineStr">
        <is>
          <t>Impuestos, Finanzas Públicas, Patrimonio estatal y municipal</t>
        </is>
      </c>
      <c r="J125" t="n">
        <v>37</v>
      </c>
      <c r="K125" t="n">
        <v>0</v>
      </c>
      <c r="L125" t="n">
        <v>0</v>
      </c>
      <c r="M125" t="n">
        <v>4</v>
      </c>
      <c r="N125">
        <f>SUM(J125:M125)</f>
        <v/>
      </c>
      <c r="O125" s="4">
        <f>SUM(J125:L125)/SUM(J125:M125)</f>
        <v/>
      </c>
      <c r="P125" s="5">
        <f>MAX(J125:L125)/SUM(J125:L125)</f>
        <v/>
      </c>
    </row>
    <row r="126">
      <c r="A126" t="inlineStr">
        <is>
          <t>Primer año</t>
        </is>
      </c>
      <c r="B126" t="inlineStr">
        <is>
          <t>Segundo periodo</t>
        </is>
      </c>
      <c r="C126" t="n">
        <v>50</v>
      </c>
      <c r="D126" t="n">
        <v>124</v>
      </c>
      <c r="E126" s="3" t="n">
        <v>45731</v>
      </c>
      <c r="F126" t="inlineStr">
        <is>
          <t>Iniciativa</t>
        </is>
      </c>
      <c r="G126" t="inlineStr">
        <is>
          <t>Dictamen con minuta de decreto por el cual se reforma el último párrafo del artículo 267 del código penal del estado libre y soberano</t>
        </is>
      </c>
      <c r="H126" t="n">
        <v>14</v>
      </c>
      <c r="I126" t="inlineStr">
        <is>
          <t>Justicia y Estado de Derecho</t>
        </is>
      </c>
      <c r="J126" t="n">
        <v>37</v>
      </c>
      <c r="K126" t="n">
        <v>0</v>
      </c>
      <c r="L126" t="n">
        <v>0</v>
      </c>
      <c r="M126" t="n">
        <v>4</v>
      </c>
      <c r="N126">
        <f>SUM(J126:M126)</f>
        <v/>
      </c>
      <c r="O126" s="4">
        <f>SUM(J126:L126)/SUM(J126:M126)</f>
        <v/>
      </c>
      <c r="P126" s="5">
        <f>MAX(J126:L126)/SUM(J126:L126)</f>
        <v/>
      </c>
    </row>
    <row r="127">
      <c r="A127" t="inlineStr">
        <is>
          <t>Primer año</t>
        </is>
      </c>
      <c r="B127" t="inlineStr">
        <is>
          <t>Segundo periodo</t>
        </is>
      </c>
      <c r="C127" t="n">
        <v>51</v>
      </c>
      <c r="D127" t="n">
        <v>125</v>
      </c>
      <c r="E127" s="3" t="n">
        <v>45731</v>
      </c>
      <c r="F127" t="inlineStr">
        <is>
          <t>Punto de Acuerdo</t>
        </is>
      </c>
      <c r="G127" t="inlineStr">
        <is>
          <t>Acuerdo por el que se exhorta a la secretaría de agricultura y desarrollo rural del gobierno del estado para que se implementen campañas y/o jornadas fitosanitarias</t>
        </is>
      </c>
      <c r="H127" t="n">
        <v>12</v>
      </c>
      <c r="I127" t="inlineStr">
        <is>
          <t>Agricultura, Ganadería y Pesca</t>
        </is>
      </c>
      <c r="J127" t="n">
        <v>37</v>
      </c>
      <c r="K127" t="n">
        <v>0</v>
      </c>
      <c r="L127" t="n">
        <v>0</v>
      </c>
      <c r="M127" t="n">
        <v>4</v>
      </c>
      <c r="N127">
        <f>SUM(J127:M127)</f>
        <v/>
      </c>
      <c r="O127" s="4">
        <f>SUM(J127:L127)/SUM(J127:M127)</f>
        <v/>
      </c>
      <c r="P127" s="5">
        <f>MAX(J127:L127)/SUM(J127:L127)</f>
        <v/>
      </c>
    </row>
    <row r="128">
      <c r="A128" t="inlineStr">
        <is>
          <t>Primer año</t>
        </is>
      </c>
      <c r="B128" t="inlineStr">
        <is>
          <t>Segundo periodo</t>
        </is>
      </c>
      <c r="C128" t="n">
        <v>52</v>
      </c>
      <c r="D128" t="n">
        <v>126</v>
      </c>
      <c r="E128" s="3" t="n">
        <v>45736</v>
      </c>
      <c r="F128" t="inlineStr">
        <is>
          <t>Punto de Acuerdo</t>
        </is>
      </c>
      <c r="G128" t="inlineStr">
        <is>
          <t>Acuerdo por el que se exhorta a la secretaría de movilidad y transporte del gobierno del estado, para que implemente campañas de sensibilización y refuerce los mecanismos para la prevención, atención, denuncia y sanción del acoso en el transporte público</t>
        </is>
      </c>
      <c r="H128" t="n">
        <v>11</v>
      </c>
      <c r="I128" t="inlineStr">
        <is>
          <t>Infraestructura, Movilidad y Transporte</t>
        </is>
      </c>
      <c r="J128" t="n">
        <v>8</v>
      </c>
      <c r="K128" t="n">
        <v>0</v>
      </c>
      <c r="L128" t="n">
        <v>0</v>
      </c>
      <c r="M128" t="n">
        <v>0</v>
      </c>
      <c r="N128">
        <f>SUM(J128:M128)</f>
        <v/>
      </c>
      <c r="O128" s="4">
        <f>SUM(J128:L128)/SUM(J128:M128)</f>
        <v/>
      </c>
      <c r="P128" s="5">
        <f>MAX(J128:L128)/SUM(J128:L128)</f>
        <v/>
      </c>
    </row>
    <row r="129">
      <c r="A129" t="inlineStr">
        <is>
          <t>Primer año</t>
        </is>
      </c>
      <c r="B129" t="inlineStr">
        <is>
          <t>Segundo periodo</t>
        </is>
      </c>
      <c r="C129" t="n">
        <v>53</v>
      </c>
      <c r="D129" t="n">
        <v>127</v>
      </c>
      <c r="E129" s="3" t="n">
        <v>45736</v>
      </c>
      <c r="F129" t="inlineStr">
        <is>
          <t>Punto de Acuerdo</t>
        </is>
      </c>
      <c r="G129" t="inlineStr">
        <is>
          <t>Acuerdo por el que se exhorta a las personas titulares de las dependencias y entidades del poder ejecutivo estatal; al poder judicial, así como a los 213 ayuntamientos y los 4 concejos municipales del estado, para que en el marco del día mundial de concienciación sobre el autismo, a partir de este año y dentro del periodo del 2 al 9 de abril de cada año, iluminen sus edificios públicos de color azul y lleven a cabo acciones de sensibilización sobre esta condición</t>
        </is>
      </c>
      <c r="H129" t="n">
        <v>6</v>
      </c>
      <c r="I129" t="inlineStr">
        <is>
          <t>Salud</t>
        </is>
      </c>
      <c r="J129" t="n">
        <v>8</v>
      </c>
      <c r="K129" t="n">
        <v>0</v>
      </c>
      <c r="L129" t="n">
        <v>0</v>
      </c>
      <c r="M129" t="n">
        <v>0</v>
      </c>
      <c r="N129">
        <f>SUM(J129:M129)</f>
        <v/>
      </c>
      <c r="O129" s="4">
        <f>SUM(J129:L129)/SUM(J129:M129)</f>
        <v/>
      </c>
      <c r="P129" s="5">
        <f>MAX(J129:L129)/SUM(J129:L129)</f>
        <v/>
      </c>
    </row>
    <row r="130">
      <c r="A130" t="inlineStr">
        <is>
          <t>Primer año</t>
        </is>
      </c>
      <c r="B130" t="inlineStr">
        <is>
          <t>Segundo periodo</t>
        </is>
      </c>
      <c r="C130" t="n">
        <v>54</v>
      </c>
      <c r="D130" t="n">
        <v>128</v>
      </c>
      <c r="E130" s="3" t="n">
        <v>45740</v>
      </c>
      <c r="F130" t="inlineStr">
        <is>
          <t>Punto de Acuerdo</t>
        </is>
      </c>
      <c r="G130" t="inlineStr">
        <is>
          <t>Acuerdo por el cual convoca a una sesión extraordinaria</t>
        </is>
      </c>
      <c r="H130" t="n">
        <v>18</v>
      </c>
      <c r="I130" t="inlineStr">
        <is>
          <t>Administración Pública</t>
        </is>
      </c>
      <c r="J130" t="n">
        <v>8</v>
      </c>
      <c r="K130" t="n">
        <v>0</v>
      </c>
      <c r="L130" t="n">
        <v>0</v>
      </c>
      <c r="M130" t="n">
        <v>0</v>
      </c>
      <c r="N130">
        <f>SUM(J130:M130)</f>
        <v/>
      </c>
      <c r="O130" s="4">
        <f>SUM(J130:L130)/SUM(J130:M130)</f>
        <v/>
      </c>
      <c r="P130" s="5">
        <f>MAX(J130:L130)/SUM(J130:L130)</f>
        <v/>
      </c>
    </row>
    <row r="131">
      <c r="A131" t="inlineStr">
        <is>
          <t>Primer año</t>
        </is>
      </c>
      <c r="B131" t="inlineStr">
        <is>
          <t>Segundo periodo</t>
        </is>
      </c>
      <c r="C131" t="n">
        <v>55</v>
      </c>
      <c r="D131" t="n">
        <v>129</v>
      </c>
      <c r="E131" s="3" t="n">
        <v>45741</v>
      </c>
      <c r="F131" t="inlineStr">
        <is>
          <t>Iniciativa</t>
        </is>
      </c>
      <c r="G131" t="inlineStr">
        <is>
          <t>Dictamen con minuta de decreto que presenta el dictamen con minuta de decreto que presenta la comisión de hacienda y patrimonio municipal de la sexagésima segunda legislatura del honorable congreso del estado, por el que se reforman las fracciones xxx y xxxi, y se adiciona la fracción xxxii al artículo 58 de la ley de ingresos del municipio de, para el ejercicio fiscal 2025</t>
        </is>
      </c>
      <c r="H131" t="n">
        <v>7</v>
      </c>
      <c r="I131" t="inlineStr">
        <is>
          <t>Impuestos, Finanzas Públicas, Patrimonio estatal y municipal</t>
        </is>
      </c>
      <c r="J131" t="n">
        <v>31</v>
      </c>
      <c r="K131" t="n">
        <v>5</v>
      </c>
      <c r="L131" t="n">
        <v>1</v>
      </c>
      <c r="M131" t="n">
        <v>4</v>
      </c>
      <c r="N131">
        <f>SUM(J131:M131)</f>
        <v/>
      </c>
      <c r="O131" s="4">
        <f>SUM(J131:L131)/SUM(J131:M131)</f>
        <v/>
      </c>
      <c r="P131" s="5">
        <f>MAX(J131:L131)/SUM(J131:L131)</f>
        <v/>
      </c>
    </row>
    <row r="132">
      <c r="A132" t="inlineStr">
        <is>
          <t>Primer año</t>
        </is>
      </c>
      <c r="B132" t="inlineStr">
        <is>
          <t>Segundo periodo</t>
        </is>
      </c>
      <c r="C132" t="n">
        <v>56</v>
      </c>
      <c r="D132" t="n">
        <v>130</v>
      </c>
      <c r="E132" s="3" t="n">
        <v>45741</v>
      </c>
      <c r="F132" t="inlineStr">
        <is>
          <t>Iniciativa</t>
        </is>
      </c>
      <c r="G132" t="inlineStr">
        <is>
          <t>Dictamen con minuta Proyecto de decreto por el cual el dictamen con minuta proyecto de decreto que presenta la comisión de gobernación y puntos constitucionales de la sexagésima segunda legislatura del honorable congreso del estado, por el que se reforman el párrafo décimo del artículo 25 y la fracción xxix-y del artículo 73 de la constitución política de los, en materia de simplificación administrativa y digitalización</t>
        </is>
      </c>
      <c r="H132" t="n">
        <v>18</v>
      </c>
      <c r="I132" t="inlineStr">
        <is>
          <t>Administración Pública</t>
        </is>
      </c>
      <c r="J132" t="n">
        <v>37</v>
      </c>
      <c r="K132" t="n">
        <v>0</v>
      </c>
      <c r="L132" t="n">
        <v>0</v>
      </c>
      <c r="M132" t="n">
        <v>4</v>
      </c>
      <c r="N132">
        <f>SUM(J132:M132)</f>
        <v/>
      </c>
      <c r="O132" s="4">
        <f>SUM(J132:L132)/SUM(J132:M132)</f>
        <v/>
      </c>
      <c r="P132" s="5">
        <f>MAX(J132:L132)/SUM(J132:L132)</f>
        <v/>
      </c>
    </row>
    <row r="133">
      <c r="A133" t="inlineStr">
        <is>
          <t>Primer año</t>
        </is>
      </c>
      <c r="B133" t="inlineStr">
        <is>
          <t>Segundo periodo</t>
        </is>
      </c>
      <c r="C133" t="n">
        <v>57</v>
      </c>
      <c r="D133" t="n">
        <v>131</v>
      </c>
      <c r="E133" s="3" t="n">
        <v>45750</v>
      </c>
      <c r="F133" t="inlineStr">
        <is>
          <t>Punto de Acuerdo</t>
        </is>
      </c>
      <c r="G133" t="inlineStr">
        <is>
          <t>Acuerdo por el cual exhorta a la secretaría de educación y a la secretaría de ciencia, humanidades, tecnología e innovación, ambas del gobierno del estado de , para que de manera coordinada y en el ámbito de sus atribuciones, verifiquen y, en su caso, promuevan que en la educación impartida en las escuelas públicas y privadas de la entidad se impulse la educación científica.</t>
        </is>
      </c>
      <c r="H133" t="n">
        <v>8</v>
      </c>
      <c r="I133" t="inlineStr">
        <is>
          <t>Educación y Cultura</t>
        </is>
      </c>
      <c r="J133" t="n">
        <v>9</v>
      </c>
      <c r="K133" t="n">
        <v>0</v>
      </c>
      <c r="L133" t="n">
        <v>0</v>
      </c>
      <c r="M133" t="n">
        <v>0</v>
      </c>
      <c r="N133">
        <f>SUM(J133:M133)</f>
        <v/>
      </c>
      <c r="O133" s="4">
        <f>SUM(J133:L133)/SUM(J133:M133)</f>
        <v/>
      </c>
      <c r="P133" s="5">
        <f>MAX(J133:L133)/SUM(J133:L133)</f>
        <v/>
      </c>
    </row>
    <row r="134">
      <c r="A134" t="inlineStr">
        <is>
          <t>Primer año</t>
        </is>
      </c>
      <c r="B134" t="inlineStr">
        <is>
          <t>Segundo periodo</t>
        </is>
      </c>
      <c r="C134" t="n">
        <v>58</v>
      </c>
      <c r="D134" t="n">
        <v>132</v>
      </c>
      <c r="E134" s="3" t="n">
        <v>45750</v>
      </c>
      <c r="F134" t="inlineStr">
        <is>
          <t>Punto de Acuerdo</t>
        </is>
      </c>
      <c r="G134" t="inlineStr">
        <is>
          <t>Acuerdo por el cual exhorta a los doscientos trece ayuntamientos y a los cuatro concejos municipales del estado de , para que respeten y garanticen los derechos laborales de las personas servidoras públicas municipales durante el periodo de su administración, incluyendo a las personas integrantes de las juntas auxiliares que prestan algún servicio en sus respectivos centros de población</t>
        </is>
      </c>
      <c r="H134" t="n">
        <v>16</v>
      </c>
      <c r="I134" t="inlineStr">
        <is>
          <t>Trabajo y Previsión Social</t>
        </is>
      </c>
      <c r="J134" t="n">
        <v>9</v>
      </c>
      <c r="K134" t="n">
        <v>0</v>
      </c>
      <c r="L134" t="n">
        <v>0</v>
      </c>
      <c r="M134" t="n">
        <v>0</v>
      </c>
      <c r="N134">
        <f>SUM(J134:M134)</f>
        <v/>
      </c>
      <c r="O134" s="4">
        <f>SUM(J134:L134)/SUM(J134:M134)</f>
        <v/>
      </c>
      <c r="P134" s="5">
        <f>MAX(J134:L134)/SUM(J134:L134)</f>
        <v/>
      </c>
    </row>
    <row r="135">
      <c r="A135" t="inlineStr">
        <is>
          <t>Primer año</t>
        </is>
      </c>
      <c r="B135" t="inlineStr">
        <is>
          <t>Segundo periodo</t>
        </is>
      </c>
      <c r="C135" t="n">
        <v>59</v>
      </c>
      <c r="D135" t="n">
        <v>133</v>
      </c>
      <c r="E135" s="3" t="n">
        <v>45754</v>
      </c>
      <c r="F135" t="inlineStr">
        <is>
          <t>Punto de Acuerdo</t>
        </is>
      </c>
      <c r="G135" t="inlineStr">
        <is>
          <t>Acuerdo por el cual se convoca a una sesión extraordinaria</t>
        </is>
      </c>
      <c r="H135" t="n">
        <v>19</v>
      </c>
      <c r="I135" t="inlineStr">
        <is>
          <t>Internos del Congreso</t>
        </is>
      </c>
      <c r="J135" t="n">
        <v>9</v>
      </c>
      <c r="K135" t="n">
        <v>0</v>
      </c>
      <c r="L135" t="n">
        <v>0</v>
      </c>
      <c r="M135" t="n">
        <v>0</v>
      </c>
      <c r="N135">
        <f>SUM(J135:M135)</f>
        <v/>
      </c>
      <c r="O135" s="4">
        <f>SUM(J135:L135)/SUM(J135:M135)</f>
        <v/>
      </c>
      <c r="P135" s="5">
        <f>MAX(J135:L135)/SUM(J135:L135)</f>
        <v/>
      </c>
    </row>
    <row r="136">
      <c r="A136" t="inlineStr">
        <is>
          <t>Primer año</t>
        </is>
      </c>
      <c r="B136" t="inlineStr">
        <is>
          <t>Segundo periodo</t>
        </is>
      </c>
      <c r="C136" t="n">
        <v>60</v>
      </c>
      <c r="D136" t="n">
        <v>134</v>
      </c>
      <c r="E136" s="3" t="n">
        <v>45754</v>
      </c>
      <c r="F136" t="inlineStr">
        <is>
          <t>Iniciativa</t>
        </is>
      </c>
      <c r="G136" t="inlineStr">
        <is>
          <t>Dictamen con minuta de decreto que presenta la comisión de gobernación y puntos constitucionales por el que se revoca el mandato del presidente municipal, las regidoras y los regidores y de la síndica municipal, y se declara la desaparición del ayuntamiento de Chalchicomula de Sesma</t>
        </is>
      </c>
      <c r="H136" t="n">
        <v>18</v>
      </c>
      <c r="I136" t="inlineStr">
        <is>
          <t>Administración Pública</t>
        </is>
      </c>
      <c r="J136" t="n">
        <v>37</v>
      </c>
      <c r="K136" t="n">
        <v>0</v>
      </c>
      <c r="L136" t="n">
        <v>0</v>
      </c>
      <c r="M136" t="n">
        <v>4</v>
      </c>
      <c r="N136">
        <f>SUM(J136:M136)</f>
        <v/>
      </c>
      <c r="O136" s="4">
        <f>SUM(J136:L136)/SUM(J136:M136)</f>
        <v/>
      </c>
      <c r="P136" s="5">
        <f>MAX(J136:L136)/SUM(J136:L136)</f>
        <v/>
      </c>
    </row>
    <row r="137">
      <c r="A137" t="inlineStr">
        <is>
          <t>Primer año</t>
        </is>
      </c>
      <c r="B137" t="inlineStr">
        <is>
          <t>Segundo periodo</t>
        </is>
      </c>
      <c r="C137" t="n">
        <v>61</v>
      </c>
      <c r="D137" t="n">
        <v>135</v>
      </c>
      <c r="E137" s="3" t="n">
        <v>45757</v>
      </c>
      <c r="F137" t="inlineStr">
        <is>
          <t>Punto de Acuerdo</t>
        </is>
      </c>
      <c r="G137" t="inlineStr">
        <is>
          <t>Acuerdo por el cual el acuerdo que presenta la comisión de cultura, por el que se exhorta a la secretaría de arte y cultura del estado, para que en coordinación con los doscientos trece ayuntamientos y cuatro concejos municipales impulsen la creación y fortalecimiento de casas de cultura, museos comunitarios y/o ludotecas en sus municipios y juntas auxiliares, a fin de fomentar la preservación del patrimonio cultural, así como el desarrollo de habilidades y conocimientos en la niñez y la juventud poblana, para garantizar su derecho a la cultura y, en su caso, aprobación</t>
        </is>
      </c>
      <c r="H137" t="n">
        <v>8</v>
      </c>
      <c r="I137" t="inlineStr">
        <is>
          <t>Educación y Cultura</t>
        </is>
      </c>
      <c r="J137" t="n">
        <v>7</v>
      </c>
      <c r="K137" t="n">
        <v>0</v>
      </c>
      <c r="L137" t="n">
        <v>0</v>
      </c>
      <c r="M137" t="n">
        <v>0</v>
      </c>
      <c r="N137">
        <f>SUM(J137:M137)</f>
        <v/>
      </c>
      <c r="O137" s="4">
        <f>SUM(J137:L137)/SUM(J137:M137)</f>
        <v/>
      </c>
      <c r="P137" s="5">
        <f>MAX(J137:L137)/SUM(J137:L137)</f>
        <v/>
      </c>
    </row>
    <row r="138">
      <c r="A138" t="inlineStr">
        <is>
          <t>Primer año</t>
        </is>
      </c>
      <c r="B138" t="inlineStr">
        <is>
          <t>Segundo periodo</t>
        </is>
      </c>
      <c r="C138" t="n">
        <v>62</v>
      </c>
      <c r="D138" t="n">
        <v>136</v>
      </c>
      <c r="E138" s="3" t="n">
        <v>45771</v>
      </c>
      <c r="F138" t="inlineStr">
        <is>
          <t>Punto de Acuerdo</t>
        </is>
      </c>
      <c r="G138" t="inlineStr">
        <is>
          <t>Acuerdo por el que se exhorta a los diecinueve ayuntamientos de la zona metropolitana del estado para que en el ámbito de sus atribuciones y en coordinación con las autoridades competentes supervisen e inspeccionen bares, cantinas, hoteles de paso, centros nocturnos, agencias de modelaje o artísticas, salas de masajes, cines y baños públicos, para detectar, prevenir y denunciar en su caso la comisión de delitos dentro de los mismos, en particular el de trata de personas</t>
        </is>
      </c>
      <c r="H138" t="n">
        <v>3</v>
      </c>
      <c r="I138" t="inlineStr">
        <is>
          <t>Seguridad Pública, Protección Civil y Narcotráfico</t>
        </is>
      </c>
      <c r="J138" t="n">
        <v>9</v>
      </c>
      <c r="K138" t="n">
        <v>0</v>
      </c>
      <c r="L138" t="n">
        <v>0</v>
      </c>
      <c r="M138" t="n">
        <v>0</v>
      </c>
      <c r="N138">
        <f>SUM(J138:M138)</f>
        <v/>
      </c>
      <c r="O138" s="4">
        <f>SUM(J138:L138)/SUM(J138:M138)</f>
        <v/>
      </c>
      <c r="P138" s="5">
        <f>MAX(J138:L138)/SUM(J138:L138)</f>
        <v/>
      </c>
    </row>
    <row r="139">
      <c r="A139" t="inlineStr">
        <is>
          <t>Primer año</t>
        </is>
      </c>
      <c r="B139" t="inlineStr">
        <is>
          <t>Segundo periodo</t>
        </is>
      </c>
      <c r="C139" t="n">
        <v>63</v>
      </c>
      <c r="D139" t="n">
        <v>137</v>
      </c>
      <c r="E139" s="3" t="n">
        <v>45771</v>
      </c>
      <c r="F139" t="inlineStr">
        <is>
          <t>Punto de Acuerdo</t>
        </is>
      </c>
      <c r="G139" t="inlineStr">
        <is>
          <t>Acuerdo por el que se exhorta a los diecinueve ayuntamientos de la zona metropolitana del estado para que, de manera coordinada y de considerarlo, acuerden la creación y funcionamiento de un observatorio metropolitano de seguridad pública y combate a la violencia social, a fin de impulsar un programa piloto en materia de estrategias de seguridad, monitoreo de delitos y capacitación a las policías, que incluya la implementación de una campaña de concientización empresarial, académica y ciudadana para dichos efectos</t>
        </is>
      </c>
      <c r="H139" t="n">
        <v>3</v>
      </c>
      <c r="I139" t="inlineStr">
        <is>
          <t>Seguridad Pública, Protección Civil y Narcotráfico</t>
        </is>
      </c>
      <c r="J139" t="n">
        <v>9</v>
      </c>
      <c r="K139" t="n">
        <v>0</v>
      </c>
      <c r="L139" t="n">
        <v>0</v>
      </c>
      <c r="M139" t="n">
        <v>0</v>
      </c>
      <c r="N139">
        <f>SUM(J139:M139)</f>
        <v/>
      </c>
      <c r="O139" s="4">
        <f>SUM(J139:L139)/SUM(J139:M139)</f>
        <v/>
      </c>
      <c r="P139" s="5">
        <f>MAX(J139:L139)/SUM(J139:L139)</f>
        <v/>
      </c>
    </row>
    <row r="140">
      <c r="A140" t="inlineStr">
        <is>
          <t>Primer año</t>
        </is>
      </c>
      <c r="B140" t="inlineStr">
        <is>
          <t>Segundo periodo</t>
        </is>
      </c>
      <c r="C140" t="n">
        <v>64</v>
      </c>
      <c r="D140" t="n">
        <v>138</v>
      </c>
      <c r="E140" s="3" t="n">
        <v>45771</v>
      </c>
      <c r="F140" t="inlineStr">
        <is>
          <t>Punto de Acuerdo</t>
        </is>
      </c>
      <c r="G140" t="inlineStr">
        <is>
          <t>Acuerdo por el que se exhorta de manera respetuosa a la delegación del instituto del fondo nacional de vivienda para los trabajadores (infonavit), para que en el ámbito de su competencia, implemente ferias, campañas, eventos y/o jornadas ciudadanas en los doscientos diecisiete municipios del estado, con la finalidad de promover y dar a conocer a la ciudadanía los programas, beneficios, trámites y demás acciones a cargo del instituto en favor de la ciudadanía, tomando en consideración para la realización de dichos eventos, el uso de formatos accesibles para personas que cuenten con algún tipo de discapacidad</t>
        </is>
      </c>
      <c r="H140" t="n">
        <v>2</v>
      </c>
      <c r="I140" t="inlineStr">
        <is>
          <t>Pobreza y Política Social</t>
        </is>
      </c>
      <c r="J140" t="n">
        <v>9</v>
      </c>
      <c r="K140" t="n">
        <v>0</v>
      </c>
      <c r="L140" t="n">
        <v>0</v>
      </c>
      <c r="M140" t="n">
        <v>0</v>
      </c>
      <c r="N140">
        <f>SUM(J140:M140)</f>
        <v/>
      </c>
      <c r="O140" s="4">
        <f>SUM(J140:L140)/SUM(J140:M140)</f>
        <v/>
      </c>
      <c r="P140" s="5">
        <f>MAX(J140:L140)/SUM(J140:L140)</f>
        <v/>
      </c>
    </row>
    <row r="141">
      <c r="A141" t="inlineStr">
        <is>
          <t>Primer año</t>
        </is>
      </c>
      <c r="B141" t="inlineStr">
        <is>
          <t>Segundo periodo</t>
        </is>
      </c>
      <c r="C141" t="n">
        <v>65</v>
      </c>
      <c r="D141" t="n">
        <v>139</v>
      </c>
      <c r="E141" s="3" t="n">
        <v>45777</v>
      </c>
      <c r="F141" t="inlineStr">
        <is>
          <t>Punto de Acuerdo</t>
        </is>
      </c>
      <c r="G141" t="inlineStr">
        <is>
          <t>Acuerdo por el cual el exhorto a los doscientos doce ayuntamientos y cinco concejos municipales del estado de puebla, lleven a cabo acciones con el propósito de proteger la salud, la prevención y controlar la contaminación ambiental</t>
        </is>
      </c>
      <c r="H141" t="n">
        <v>5</v>
      </c>
      <c r="I141" t="inlineStr">
        <is>
          <t>Medio Ambiente</t>
        </is>
      </c>
      <c r="J141" t="n">
        <v>8</v>
      </c>
      <c r="K141" t="n">
        <v>0</v>
      </c>
      <c r="L141" t="n">
        <v>0</v>
      </c>
      <c r="M141" t="n">
        <v>0</v>
      </c>
      <c r="N141">
        <f>SUM(J141:M141)</f>
        <v/>
      </c>
      <c r="O141" s="4">
        <f>SUM(J141:L141)/SUM(J141:M141)</f>
        <v/>
      </c>
      <c r="P141" s="5">
        <f>MAX(J141:L141)/SUM(J141:L141)</f>
        <v/>
      </c>
    </row>
    <row r="142">
      <c r="A142" t="inlineStr">
        <is>
          <t>Primer año</t>
        </is>
      </c>
      <c r="B142" t="inlineStr">
        <is>
          <t>Segundo periodo</t>
        </is>
      </c>
      <c r="C142" t="n">
        <v>66</v>
      </c>
      <c r="D142" t="n">
        <v>140</v>
      </c>
      <c r="E142" s="3" t="n">
        <v>45777</v>
      </c>
      <c r="F142" t="inlineStr">
        <is>
          <t>Punto de Acuerdo</t>
        </is>
      </c>
      <c r="G142" t="inlineStr">
        <is>
          <t>Acuerdo por el cual el exhorto a los doscientos doce ayuntamientos y a los cinco concejos municipales del estado de puebla, para que, con respeto a los usos y costumbres de cada comunidad, promuevan que los comités de agua potable existentes en la entidad implementen y cumplan lineamientos de rendición de cuentas</t>
        </is>
      </c>
      <c r="H142" t="n">
        <v>10</v>
      </c>
      <c r="I142" t="inlineStr">
        <is>
          <t>Transparencia y Rendición de Cuentas</t>
        </is>
      </c>
      <c r="J142" t="n">
        <v>8</v>
      </c>
      <c r="K142" t="n">
        <v>0</v>
      </c>
      <c r="L142" t="n">
        <v>0</v>
      </c>
      <c r="M142" t="n">
        <v>0</v>
      </c>
      <c r="N142">
        <f>SUM(J142:M142)</f>
        <v/>
      </c>
      <c r="O142" s="4">
        <f>SUM(J142:L142)/SUM(J142:M142)</f>
        <v/>
      </c>
      <c r="P142" s="5">
        <f>MAX(J142:L142)/SUM(J142:L142)</f>
        <v/>
      </c>
    </row>
    <row r="143">
      <c r="A143" t="inlineStr">
        <is>
          <t>Primer año</t>
        </is>
      </c>
      <c r="B143" t="inlineStr">
        <is>
          <t>Segundo periodo</t>
        </is>
      </c>
      <c r="C143" t="n">
        <v>67</v>
      </c>
      <c r="D143" t="n">
        <v>141</v>
      </c>
      <c r="E143" s="3" t="n">
        <v>45777</v>
      </c>
      <c r="F143" t="inlineStr">
        <is>
          <t>Punto de Acuerdo</t>
        </is>
      </c>
      <c r="G143" t="inlineStr">
        <is>
          <t>Acuerdo por el cual el exhorto a los doscientos doce ayuntamientos y a los cinco concejos municipales del estado de puebla, para que formulen y aprueben sus programas municipales de turismo con un enfoque participativo y sostenible</t>
        </is>
      </c>
      <c r="H143" t="n">
        <v>1</v>
      </c>
      <c r="I143" t="inlineStr">
        <is>
          <t>Economía, Comercio y Competitividad</t>
        </is>
      </c>
      <c r="J143" t="n">
        <v>8</v>
      </c>
      <c r="K143" t="n">
        <v>0</v>
      </c>
      <c r="L143" t="n">
        <v>0</v>
      </c>
      <c r="M143" t="n">
        <v>0</v>
      </c>
      <c r="N143">
        <f>SUM(J143:M143)</f>
        <v/>
      </c>
      <c r="O143" s="4">
        <f>SUM(J143:L143)/SUM(J143:M143)</f>
        <v/>
      </c>
      <c r="P143" s="5">
        <f>MAX(J143:L143)/SUM(J143:L143)</f>
        <v/>
      </c>
    </row>
    <row r="144">
      <c r="A144" t="inlineStr">
        <is>
          <t>Primer año</t>
        </is>
      </c>
      <c r="B144" t="inlineStr">
        <is>
          <t>Segundo periodo</t>
        </is>
      </c>
      <c r="C144" t="n">
        <v>68</v>
      </c>
      <c r="D144" t="n">
        <v>142</v>
      </c>
      <c r="E144" s="3" t="n">
        <v>45777</v>
      </c>
      <c r="F144" t="inlineStr">
        <is>
          <t>Punto de Acuerdo</t>
        </is>
      </c>
      <c r="G144" t="inlineStr">
        <is>
          <t>Acuerdo por el cual el exhorto a los doscientos doce ayuntamientos y cinco concejos municipales del estado de puebla, para que revisen, organicen y cumplan con la adecuada recolección, transporte y disposición de residuos sólidos urbanos</t>
        </is>
      </c>
      <c r="H144" t="n">
        <v>5</v>
      </c>
      <c r="I144" t="inlineStr">
        <is>
          <t>Medio Ambiente</t>
        </is>
      </c>
      <c r="J144" t="n">
        <v>8</v>
      </c>
      <c r="K144" t="n">
        <v>0</v>
      </c>
      <c r="L144" t="n">
        <v>0</v>
      </c>
      <c r="M144" t="n">
        <v>0</v>
      </c>
      <c r="N144">
        <f>SUM(J144:M144)</f>
        <v/>
      </c>
      <c r="O144" s="4">
        <f>SUM(J144:L144)/SUM(J144:M144)</f>
        <v/>
      </c>
      <c r="P144" s="5">
        <f>MAX(J144:L144)/SUM(J144:L144)</f>
        <v/>
      </c>
    </row>
    <row r="145">
      <c r="A145" t="inlineStr">
        <is>
          <t>Primer año</t>
        </is>
      </c>
      <c r="B145" t="inlineStr">
        <is>
          <t>Segundo periodo</t>
        </is>
      </c>
      <c r="C145" t="n">
        <v>69</v>
      </c>
      <c r="D145" t="n">
        <v>143</v>
      </c>
      <c r="E145" s="3" t="n">
        <v>45777</v>
      </c>
      <c r="F145" t="inlineStr">
        <is>
          <t>Punto de Acuerdo</t>
        </is>
      </c>
      <c r="G145" t="inlineStr">
        <is>
          <t>Acuerdo por el cual el exhorto a los doscientos doce ayuntamientos y a los cinco concejos municipales del estado de puebla para que, en el ámbito de su competencia actúen y den seguimiento a las denuncias por violencia de género, violencia política de género, acoso u hostigamiento sexual</t>
        </is>
      </c>
      <c r="H145" t="n">
        <v>20</v>
      </c>
      <c r="I145" t="inlineStr">
        <is>
          <t>Justicia y Estado de Derecho en temas de Mujeres</t>
        </is>
      </c>
      <c r="J145" t="n">
        <v>8</v>
      </c>
      <c r="K145" t="n">
        <v>0</v>
      </c>
      <c r="L145" t="n">
        <v>0</v>
      </c>
      <c r="M145" t="n">
        <v>0</v>
      </c>
      <c r="N145">
        <f>SUM(J145:M145)</f>
        <v/>
      </c>
      <c r="O145" s="4">
        <f>SUM(J145:L145)/SUM(J145:M145)</f>
        <v/>
      </c>
      <c r="P145" s="5">
        <f>MAX(J145:L145)/SUM(J145:L145)</f>
        <v/>
      </c>
    </row>
    <row r="146">
      <c r="A146" t="inlineStr">
        <is>
          <t>Primer año</t>
        </is>
      </c>
      <c r="B146" t="inlineStr">
        <is>
          <t>Segundo periodo</t>
        </is>
      </c>
      <c r="C146" t="n">
        <v>70</v>
      </c>
      <c r="D146" t="n">
        <v>144</v>
      </c>
      <c r="E146" s="3" t="n">
        <v>45777</v>
      </c>
      <c r="F146" t="inlineStr">
        <is>
          <t>Punto de Acuerdo</t>
        </is>
      </c>
      <c r="G146" t="inlineStr">
        <is>
          <t>Acuerdo por el cual el exhorto a los doscientos doce ayuntamientos y a los cinco concejos municipales del estado de puebla, para que en el ámbito de sus atribuciones convoquen e instalen sus consejos de participación ciudadana</t>
        </is>
      </c>
      <c r="H146" t="n">
        <v>18</v>
      </c>
      <c r="I146" t="inlineStr">
        <is>
          <t>Administración Pública</t>
        </is>
      </c>
      <c r="J146" t="n">
        <v>8</v>
      </c>
      <c r="K146" t="n">
        <v>0</v>
      </c>
      <c r="L146" t="n">
        <v>0</v>
      </c>
      <c r="M146" t="n">
        <v>0</v>
      </c>
      <c r="N146">
        <f>SUM(J146:M146)</f>
        <v/>
      </c>
      <c r="O146" s="4">
        <f>SUM(J146:L146)/SUM(J146:M146)</f>
        <v/>
      </c>
      <c r="P146" s="5">
        <f>MAX(J146:L146)/SUM(J146:L146)</f>
        <v/>
      </c>
    </row>
    <row r="147">
      <c r="A147" t="inlineStr">
        <is>
          <t>Primer año</t>
        </is>
      </c>
      <c r="B147" t="inlineStr">
        <is>
          <t>Segundo periodo</t>
        </is>
      </c>
      <c r="C147" t="n">
        <v>71</v>
      </c>
      <c r="D147" t="n">
        <v>145</v>
      </c>
      <c r="E147" s="3" t="n">
        <v>45777</v>
      </c>
      <c r="F147" t="inlineStr">
        <is>
          <t>Punto de Acuerdo</t>
        </is>
      </c>
      <c r="G147" t="inlineStr">
        <is>
          <t>Acuerdo por el cual el exhorto a los doscientos doce ayuntamientos y a los cinco concejos municipales del estado de puebla, para que implementen acciones orientadas a promover la cultura de respeto, adopción, trato adecuado y libre de violencia de los animales</t>
        </is>
      </c>
      <c r="H147" t="n">
        <v>5</v>
      </c>
      <c r="I147" t="inlineStr">
        <is>
          <t>Medio Ambiente</t>
        </is>
      </c>
      <c r="J147" t="n">
        <v>9</v>
      </c>
      <c r="K147" t="n">
        <v>0</v>
      </c>
      <c r="L147" t="n">
        <v>0</v>
      </c>
      <c r="M147" t="n">
        <v>0</v>
      </c>
      <c r="N147">
        <f>SUM(J147:M147)</f>
        <v/>
      </c>
      <c r="O147" s="4">
        <f>SUM(J147:L147)/SUM(J147:M147)</f>
        <v/>
      </c>
      <c r="P147" s="5">
        <f>MAX(J147:L147)/SUM(J147:L147)</f>
        <v/>
      </c>
    </row>
    <row r="148">
      <c r="A148" t="inlineStr">
        <is>
          <t>Primer año</t>
        </is>
      </c>
      <c r="B148" t="inlineStr">
        <is>
          <t>Segundo periodo</t>
        </is>
      </c>
      <c r="C148" t="n">
        <v>72</v>
      </c>
      <c r="D148" t="n">
        <v>146</v>
      </c>
      <c r="E148" s="3" t="n">
        <v>45777</v>
      </c>
      <c r="F148" t="inlineStr">
        <is>
          <t>Punto de Acuerdo</t>
        </is>
      </c>
      <c r="G148" t="inlineStr">
        <is>
          <t>Acuerdo por el cual el exhorto a la secretaría de movilidad y transporte del gobierno del estado, para que en coordinación con los doscientos doce ayuntamientos y los cinco concejos municipales de la entidad, implementen programas y campañas de cultura de civilidad vial</t>
        </is>
      </c>
      <c r="H148" t="n">
        <v>11</v>
      </c>
      <c r="I148" t="inlineStr">
        <is>
          <t>Infraestructura, Movilidad y Transporte</t>
        </is>
      </c>
      <c r="J148" t="n">
        <v>9</v>
      </c>
      <c r="K148" t="n">
        <v>0</v>
      </c>
      <c r="L148" t="n">
        <v>0</v>
      </c>
      <c r="M148" t="n">
        <v>0</v>
      </c>
      <c r="N148">
        <f>SUM(J148:M148)</f>
        <v/>
      </c>
      <c r="O148" s="4">
        <f>SUM(J148:L148)/SUM(J148:M148)</f>
        <v/>
      </c>
      <c r="P148" s="5">
        <f>MAX(J148:L148)/SUM(J148:L148)</f>
        <v/>
      </c>
    </row>
    <row r="149">
      <c r="A149" t="inlineStr">
        <is>
          <t>Primer año</t>
        </is>
      </c>
      <c r="B149" t="inlineStr">
        <is>
          <t>Segundo periodo</t>
        </is>
      </c>
      <c r="C149" t="n">
        <v>73</v>
      </c>
      <c r="D149" t="n">
        <v>147</v>
      </c>
      <c r="E149" s="3" t="n">
        <v>45785</v>
      </c>
      <c r="F149" t="inlineStr">
        <is>
          <t>Punto de Acuerdo</t>
        </is>
      </c>
      <c r="G149" t="inlineStr">
        <is>
          <t>Acuerdo por el cual el relativo al acuerdo que presenta la comisión de procuración y administración de justicia de la sexagésima segunda legislatura del honorable congreso del estado, por el que se exhorta a la fiscalía general del estado, a la secretaría de seguridad pública y a los doscientos doce ayuntamientos y cinco concejos municipales del estado de , para que de manera coordinada y en el ámbito de su competencia, implementen acciones para informar a las y los poblanos sobre las medidas preventivas que deben considerar para evitar fraudes y la comisión de otros delitos, relacionados con la supuesta exhibición y/o compraventa de vehículos, así como a difundir los canales de denuncia disponibles en caso de que se presenten estas conductas ilícitas y, en su caso, aprobación</t>
        </is>
      </c>
      <c r="H149" t="n">
        <v>3</v>
      </c>
      <c r="I149" t="inlineStr">
        <is>
          <t>Seguridad Pública, Protección Civil y Narcotráfico</t>
        </is>
      </c>
      <c r="J149" t="n">
        <v>7</v>
      </c>
      <c r="K149" t="n">
        <v>0</v>
      </c>
      <c r="L149" t="n">
        <v>0</v>
      </c>
      <c r="M149" t="n">
        <v>34</v>
      </c>
      <c r="N149">
        <f>SUM(J149:M149)</f>
        <v/>
      </c>
      <c r="O149" s="4">
        <f>SUM(J149:L149)/SUM(J149:M149)</f>
        <v/>
      </c>
      <c r="P149" s="5">
        <f>MAX(J149:L149)/SUM(J149:L149)</f>
        <v/>
      </c>
    </row>
    <row r="150">
      <c r="A150" t="inlineStr">
        <is>
          <t>Primer año</t>
        </is>
      </c>
      <c r="B150" t="inlineStr">
        <is>
          <t>Segundo periodo</t>
        </is>
      </c>
      <c r="C150" t="n">
        <v>74</v>
      </c>
      <c r="D150" t="n">
        <v>148</v>
      </c>
      <c r="E150" s="3" t="n">
        <v>45785</v>
      </c>
      <c r="F150" t="inlineStr">
        <is>
          <t>Punto de Acuerdo</t>
        </is>
      </c>
      <c r="G150" t="inlineStr">
        <is>
          <t>Acuerdo por el cual el relativo al acuerdo que presenta la comisión de salud de la sexagésima segunda legislatura del honorable congreso del estado, por el que se exhorta a la secretaría de salud del estado de , para que informe a todas las mujeres embarazadas acerca de los beneficios y el manejo de la l ncia, asimismo, realice acciones en favor de la l ncia materna con el propósito de que las instituciones prestadoras de servicios de salud cumplan con los “diez pasos para una l ncia exitosa”, a que se refiere el artículo 20 de la ley para la protección, apoyo y promoción de la l ncia materna para el estado de y, en su caso, aprobación</t>
        </is>
      </c>
      <c r="H150" t="n">
        <v>6</v>
      </c>
      <c r="I150" t="inlineStr">
        <is>
          <t>Salud</t>
        </is>
      </c>
      <c r="J150" t="n">
        <v>7</v>
      </c>
      <c r="K150" t="n">
        <v>0</v>
      </c>
      <c r="L150" t="n">
        <v>0</v>
      </c>
      <c r="M150" t="n">
        <v>34</v>
      </c>
      <c r="N150">
        <f>SUM(J150:M150)</f>
        <v/>
      </c>
      <c r="O150" s="4">
        <f>SUM(J150:L150)/SUM(J150:M150)</f>
        <v/>
      </c>
      <c r="P150" s="5">
        <f>MAX(J150:L150)/SUM(J150:L150)</f>
        <v/>
      </c>
    </row>
    <row r="151">
      <c r="A151" t="inlineStr">
        <is>
          <t>Primer año</t>
        </is>
      </c>
      <c r="B151" t="inlineStr">
        <is>
          <t>Segundo periodo</t>
        </is>
      </c>
      <c r="C151" t="n">
        <v>75</v>
      </c>
      <c r="D151" t="n">
        <v>149</v>
      </c>
      <c r="E151" s="3" t="n">
        <v>45785</v>
      </c>
      <c r="F151" t="inlineStr">
        <is>
          <t>Punto de Acuerdo</t>
        </is>
      </c>
      <c r="G151" t="inlineStr">
        <is>
          <t>Acuerdo por el cual el relativo al acuerdo que presenta la comisión de educación de la sexagésima segunda legislatura del honorable congreso del estado, por el que se exhorta a la secretaría de educación del estado a incorporar e implementar en los centros de educación inicial y preescolar, acciones de activación física específicas para la primera infancia, promoviendo la participación activa de docentes, madres, padres y tutores, entre otro resolutivo y, en su caso, aprobación</t>
        </is>
      </c>
      <c r="H151" t="n">
        <v>8</v>
      </c>
      <c r="I151" t="inlineStr">
        <is>
          <t>Educación y Cultura</t>
        </is>
      </c>
      <c r="J151" t="n">
        <v>7</v>
      </c>
      <c r="K151" t="n">
        <v>0</v>
      </c>
      <c r="L151" t="n">
        <v>0</v>
      </c>
      <c r="M151" t="n">
        <v>34</v>
      </c>
      <c r="N151">
        <f>SUM(J151:M151)</f>
        <v/>
      </c>
      <c r="O151" s="4">
        <f>SUM(J151:L151)/SUM(J151:M151)</f>
        <v/>
      </c>
      <c r="P151" s="5">
        <f>MAX(J151:L151)/SUM(J151:L151)</f>
        <v/>
      </c>
    </row>
    <row r="152">
      <c r="A152" t="inlineStr">
        <is>
          <t>Primer año</t>
        </is>
      </c>
      <c r="B152" t="inlineStr">
        <is>
          <t>Segundo periodo</t>
        </is>
      </c>
      <c r="C152" t="n">
        <v>76</v>
      </c>
      <c r="D152" t="n">
        <v>150</v>
      </c>
      <c r="E152" s="3" t="n">
        <v>45785</v>
      </c>
      <c r="F152" t="inlineStr">
        <is>
          <t>Punto de Acuerdo</t>
        </is>
      </c>
      <c r="G152" t="inlineStr">
        <is>
          <t>Acuerdo por el cual el relativo al acuerdo que presenta la comisión de educación de la sexagésima segunda legislatura del honorable congreso del estado, por el que se exhorta a la secretaría de educación del estado para que revise de manera integral las políticas y prácticas de inclusión en las instituciones de educación superior, asegurando que se adopten ajustes razonables y medidas de accesibilidad, con el fin de eliminar barreras y garantizar un entorno educativo equitativo e incluyente y en su caso, aprobación</t>
        </is>
      </c>
      <c r="H152" t="n">
        <v>8</v>
      </c>
      <c r="I152" t="inlineStr">
        <is>
          <t>Educación y Cultura</t>
        </is>
      </c>
      <c r="J152" t="n">
        <v>7</v>
      </c>
      <c r="K152" t="n">
        <v>0</v>
      </c>
      <c r="L152" t="n">
        <v>0</v>
      </c>
      <c r="M152" t="n">
        <v>34</v>
      </c>
      <c r="N152">
        <f>SUM(J152:M152)</f>
        <v/>
      </c>
      <c r="O152" s="4">
        <f>SUM(J152:L152)/SUM(J152:M152)</f>
        <v/>
      </c>
      <c r="P152" s="5">
        <f>MAX(J152:L152)/SUM(J152:L152)</f>
        <v/>
      </c>
    </row>
    <row r="153">
      <c r="A153" t="inlineStr">
        <is>
          <t>Primer año</t>
        </is>
      </c>
      <c r="B153" t="inlineStr">
        <is>
          <t>Segundo periodo</t>
        </is>
      </c>
      <c r="C153" t="n">
        <v>77</v>
      </c>
      <c r="D153" t="n">
        <v>151</v>
      </c>
      <c r="E153" s="3" t="n">
        <v>45785</v>
      </c>
      <c r="F153" t="inlineStr">
        <is>
          <t>Punto de Acuerdo</t>
        </is>
      </c>
      <c r="G153" t="inlineStr">
        <is>
          <t>Acuerdo por el cual el relativo al acuerdo que presenta la comisión de educación de la sexagésima segunda legislatura del honorable congreso del estado, por el que se exhorta a la secretaría de educación y a la secretaría de ciencia, humanidades, tecnología e innovación, ambas del estado, a implementar programas que fortalezcan la conectividad y proporcionen herramientas digitales en las escuelas de zonas rurales de la entidad, a fin de garantizar una educación de calidad y, en su caso aprobación</t>
        </is>
      </c>
      <c r="H153" t="n">
        <v>8</v>
      </c>
      <c r="I153" t="inlineStr">
        <is>
          <t>Educación y Cultura</t>
        </is>
      </c>
      <c r="J153" t="n">
        <v>7</v>
      </c>
      <c r="K153" t="n">
        <v>0</v>
      </c>
      <c r="L153" t="n">
        <v>0</v>
      </c>
      <c r="M153" t="n">
        <v>34</v>
      </c>
      <c r="N153">
        <f>SUM(J153:M153)</f>
        <v/>
      </c>
      <c r="O153" s="4">
        <f>SUM(J153:L153)/SUM(J153:M153)</f>
        <v/>
      </c>
      <c r="P153" s="5">
        <f>MAX(J153:L153)/SUM(J153:L153)</f>
        <v/>
      </c>
    </row>
    <row r="154">
      <c r="A154" t="inlineStr">
        <is>
          <t>Primer año</t>
        </is>
      </c>
      <c r="B154" t="inlineStr">
        <is>
          <t>Segundo periodo</t>
        </is>
      </c>
      <c r="C154" t="n">
        <v>78</v>
      </c>
      <c r="D154" t="n">
        <v>152</v>
      </c>
      <c r="E154" s="3" t="n">
        <v>45785</v>
      </c>
      <c r="F154" t="inlineStr">
        <is>
          <t>Punto de Acuerdo</t>
        </is>
      </c>
      <c r="G154" t="inlineStr">
        <is>
          <t>Acuerdo por el cual el relativo al acuerdo que presenta la comisión de de educación de la sexagésima segunda legislatura del honorable congreso del estado, por el que se exhorta a la secretaría de educación del estado para que, a través de las áreas administrativas y operativas competentes, implemente un sistema digital para la inscripción y reinscripción de estudiantes en instituciones educativas de la entidad, con el fin de apoyar a la economía familiar y cuidar el medio ambiente y, en su caso, aprobación</t>
        </is>
      </c>
      <c r="H154" t="n">
        <v>8</v>
      </c>
      <c r="I154" t="inlineStr">
        <is>
          <t>Educación y Cultura</t>
        </is>
      </c>
      <c r="J154" t="n">
        <v>7</v>
      </c>
      <c r="K154" t="n">
        <v>0</v>
      </c>
      <c r="L154" t="n">
        <v>0</v>
      </c>
      <c r="M154" t="n">
        <v>34</v>
      </c>
      <c r="N154">
        <f>SUM(J154:M154)</f>
        <v/>
      </c>
      <c r="O154" s="4">
        <f>SUM(J154:L154)/SUM(J154:M154)</f>
        <v/>
      </c>
      <c r="P154" s="5">
        <f>MAX(J154:L154)/SUM(J154:L154)</f>
        <v/>
      </c>
    </row>
    <row r="155">
      <c r="A155" t="inlineStr">
        <is>
          <t>Primer año</t>
        </is>
      </c>
      <c r="B155" t="inlineStr">
        <is>
          <t>Tercer periodo</t>
        </is>
      </c>
      <c r="C155" t="n">
        <v>1</v>
      </c>
      <c r="D155" t="n">
        <v>153</v>
      </c>
      <c r="E155" s="3" t="n">
        <v>45797</v>
      </c>
      <c r="F155" t="inlineStr">
        <is>
          <t>Iniciativa</t>
        </is>
      </c>
      <c r="G155" t="inlineStr">
        <is>
          <t>Dictamen con minuta de decreto por el cual se revoca el mandato del presidente municipal, las regidoras y los regidores y de la síndica municipal, y se declara la desaparición del ayuntamiento de Tlachichuca, entre otros resolutivos</t>
        </is>
      </c>
      <c r="H155" t="n">
        <v>18</v>
      </c>
      <c r="I155" t="inlineStr">
        <is>
          <t>Administración Pública</t>
        </is>
      </c>
      <c r="J155" t="n">
        <v>31</v>
      </c>
      <c r="K155" t="n">
        <v>1</v>
      </c>
      <c r="L155" t="n">
        <v>5</v>
      </c>
      <c r="M155" t="n">
        <v>4</v>
      </c>
      <c r="N155">
        <f>SUM(J155:M155)</f>
        <v/>
      </c>
      <c r="O155" s="4">
        <f>SUM(J155:L155)/SUM(J155:M155)</f>
        <v/>
      </c>
      <c r="P155" s="5">
        <f>MAX(J155:L155)/SUM(J155:L155)</f>
        <v/>
      </c>
    </row>
    <row r="156">
      <c r="A156" t="inlineStr">
        <is>
          <t>Primer año</t>
        </is>
      </c>
      <c r="B156" t="inlineStr">
        <is>
          <t>Tercer periodo</t>
        </is>
      </c>
      <c r="C156" t="n">
        <v>2</v>
      </c>
      <c r="D156" t="n">
        <v>154</v>
      </c>
      <c r="E156" s="3" t="n">
        <v>45799</v>
      </c>
      <c r="F156" t="inlineStr">
        <is>
          <t>Iniciativa</t>
        </is>
      </c>
      <c r="G156" t="inlineStr">
        <is>
          <t>Dictamen con minuta de decreto por el cual se reforman y adicionan diversas disposiciones a la Ley Orgánica del Poder Legislativo del estado libre y soberano y del Reglamento Interior del honorable Congreso del estado libre y soberano de</t>
        </is>
      </c>
      <c r="H156" t="n">
        <v>19</v>
      </c>
      <c r="I156" t="inlineStr">
        <is>
          <t>Internos del Congreso</t>
        </is>
      </c>
      <c r="J156" t="n">
        <v>38</v>
      </c>
      <c r="K156" t="n">
        <v>0</v>
      </c>
      <c r="L156" t="n">
        <v>0</v>
      </c>
      <c r="M156" t="n">
        <v>3</v>
      </c>
      <c r="N156">
        <f>SUM(J156:M156)</f>
        <v/>
      </c>
      <c r="O156" s="4">
        <f>SUM(J156:L156)/SUM(J156:M156)</f>
        <v/>
      </c>
      <c r="P156" s="5">
        <f>MAX(J156:L156)/SUM(J156:L156)</f>
        <v/>
      </c>
    </row>
    <row r="157">
      <c r="A157" t="inlineStr">
        <is>
          <t>Primer año</t>
        </is>
      </c>
      <c r="B157" t="inlineStr">
        <is>
          <t>Tercer periodo</t>
        </is>
      </c>
      <c r="C157" t="n">
        <v>3</v>
      </c>
      <c r="D157" t="n">
        <v>155</v>
      </c>
      <c r="E157" s="3" t="n">
        <v>45799</v>
      </c>
      <c r="F157" t="inlineStr">
        <is>
          <t>Iniciativa</t>
        </is>
      </c>
      <c r="G157" t="inlineStr">
        <is>
          <t>Dictamen con minuta de decreto por el cual se adiciona un segundo párrafo al artículo 71 de la Ley de Educación de estado de</t>
        </is>
      </c>
      <c r="H157" t="n">
        <v>8</v>
      </c>
      <c r="I157" t="inlineStr">
        <is>
          <t>Educación y Cultura</t>
        </is>
      </c>
      <c r="J157" t="n">
        <v>38</v>
      </c>
      <c r="K157" t="n">
        <v>0</v>
      </c>
      <c r="L157" t="n">
        <v>0</v>
      </c>
      <c r="M157" t="n">
        <v>3</v>
      </c>
      <c r="N157">
        <f>SUM(J157:M157)</f>
        <v/>
      </c>
      <c r="O157" s="4">
        <f>SUM(J157:L157)/SUM(J157:M157)</f>
        <v/>
      </c>
      <c r="P157" s="5">
        <f>MAX(J157:L157)/SUM(J157:L157)</f>
        <v/>
      </c>
    </row>
    <row r="158">
      <c r="A158" t="inlineStr">
        <is>
          <t>Primer año</t>
        </is>
      </c>
      <c r="B158" t="inlineStr">
        <is>
          <t>Tercer periodo</t>
        </is>
      </c>
      <c r="C158" t="n">
        <v>4</v>
      </c>
      <c r="D158" t="n">
        <v>156</v>
      </c>
      <c r="E158" s="3" t="n">
        <v>45799</v>
      </c>
      <c r="F158" t="inlineStr">
        <is>
          <t>Iniciativa</t>
        </is>
      </c>
      <c r="G158" t="inlineStr">
        <is>
          <t>Dictamen con minuta de decreto por el cual se reforma la fracción XIV del artículo 69 de la Ley de Educación del estado de</t>
        </is>
      </c>
      <c r="H158" t="n">
        <v>8</v>
      </c>
      <c r="I158" t="inlineStr">
        <is>
          <t>Educación y Cultura</t>
        </is>
      </c>
      <c r="J158" t="n">
        <v>38</v>
      </c>
      <c r="K158" t="n">
        <v>0</v>
      </c>
      <c r="L158" t="n">
        <v>0</v>
      </c>
      <c r="M158" t="n">
        <v>3</v>
      </c>
      <c r="N158">
        <f>SUM(J158:M158)</f>
        <v/>
      </c>
      <c r="O158" s="4">
        <f>SUM(J158:L158)/SUM(J158:M158)</f>
        <v/>
      </c>
      <c r="P158" s="5">
        <f>MAX(J158:L158)/SUM(J158:L158)</f>
        <v/>
      </c>
    </row>
    <row r="159">
      <c r="A159" t="inlineStr">
        <is>
          <t>Primer año</t>
        </is>
      </c>
      <c r="B159" t="inlineStr">
        <is>
          <t>Tercer periodo</t>
        </is>
      </c>
      <c r="C159" t="n">
        <v>5</v>
      </c>
      <c r="D159" t="n">
        <v>157</v>
      </c>
      <c r="E159" s="3" t="n">
        <v>45799</v>
      </c>
      <c r="F159" t="inlineStr">
        <is>
          <t>Iniciativa</t>
        </is>
      </c>
      <c r="G159" t="inlineStr">
        <is>
          <t>Dictamen con minuta de decreto por el cual se reforma la fracción II del artículo 119 de la Ley de Educación del estado de</t>
        </is>
      </c>
      <c r="H159" t="n">
        <v>8</v>
      </c>
      <c r="I159" t="inlineStr">
        <is>
          <t>Educación y Cultura</t>
        </is>
      </c>
      <c r="J159" t="n">
        <v>39</v>
      </c>
      <c r="K159" t="n">
        <v>0</v>
      </c>
      <c r="L159" t="n">
        <v>0</v>
      </c>
      <c r="M159" t="n">
        <v>2</v>
      </c>
      <c r="N159">
        <f>SUM(J159:M159)</f>
        <v/>
      </c>
      <c r="O159" s="4">
        <f>SUM(J159:L159)/SUM(J159:M159)</f>
        <v/>
      </c>
      <c r="P159" s="5">
        <f>MAX(J159:L159)/SUM(J159:L159)</f>
        <v/>
      </c>
    </row>
    <row r="160">
      <c r="A160" t="inlineStr">
        <is>
          <t>Primer año</t>
        </is>
      </c>
      <c r="B160" t="inlineStr">
        <is>
          <t>Tercer periodo</t>
        </is>
      </c>
      <c r="C160" t="n">
        <v>6</v>
      </c>
      <c r="D160" t="n">
        <v>158</v>
      </c>
      <c r="E160" s="3" t="n">
        <v>45799</v>
      </c>
      <c r="F160" t="inlineStr">
        <is>
          <t>Iniciativa</t>
        </is>
      </c>
      <c r="G160" t="inlineStr">
        <is>
          <t>Dictamen con minuta de decreto por el cual se deroga la fracción XVIII del artículo 91 de la Ley Orgánica Municipal</t>
        </is>
      </c>
      <c r="H160" t="n">
        <v>18</v>
      </c>
      <c r="I160" t="inlineStr">
        <is>
          <t>Administración Pública</t>
        </is>
      </c>
      <c r="J160" t="n">
        <v>39</v>
      </c>
      <c r="K160" t="n">
        <v>0</v>
      </c>
      <c r="L160" t="n">
        <v>0</v>
      </c>
      <c r="M160" t="n">
        <v>2</v>
      </c>
      <c r="N160">
        <f>SUM(J160:M160)</f>
        <v/>
      </c>
      <c r="O160" s="4">
        <f>SUM(J160:L160)/SUM(J160:M160)</f>
        <v/>
      </c>
      <c r="P160" s="5">
        <f>MAX(J160:L160)/SUM(J160:L160)</f>
        <v/>
      </c>
    </row>
    <row r="161">
      <c r="A161" t="inlineStr">
        <is>
          <t>Primer año</t>
        </is>
      </c>
      <c r="B161" t="inlineStr">
        <is>
          <t>Tercer periodo</t>
        </is>
      </c>
      <c r="C161" t="n">
        <v>7</v>
      </c>
      <c r="D161" t="n">
        <v>159</v>
      </c>
      <c r="E161" s="3" t="n">
        <v>45799</v>
      </c>
      <c r="F161" t="inlineStr">
        <is>
          <t>Iniciativa</t>
        </is>
      </c>
      <c r="G161" t="inlineStr">
        <is>
          <t>Dictamen con minuta de decreto por el cual se reforma el artículo 70 de la Ley Orgánica Municipal</t>
        </is>
      </c>
      <c r="H161" t="n">
        <v>18</v>
      </c>
      <c r="I161" t="inlineStr">
        <is>
          <t>Administración Pública</t>
        </is>
      </c>
      <c r="J161" t="n">
        <v>39</v>
      </c>
      <c r="K161" t="n">
        <v>0</v>
      </c>
      <c r="L161" t="n">
        <v>0</v>
      </c>
      <c r="M161" t="n">
        <v>2</v>
      </c>
      <c r="N161">
        <f>SUM(J161:M161)</f>
        <v/>
      </c>
      <c r="O161" s="4">
        <f>SUM(J161:L161)/SUM(J161:M161)</f>
        <v/>
      </c>
      <c r="P161" s="5">
        <f>MAX(J161:L161)/SUM(J161:L161)</f>
        <v/>
      </c>
    </row>
    <row r="162">
      <c r="A162" t="inlineStr">
        <is>
          <t>Primer año</t>
        </is>
      </c>
      <c r="B162" t="inlineStr">
        <is>
          <t>Tercer periodo</t>
        </is>
      </c>
      <c r="C162" t="n">
        <v>8</v>
      </c>
      <c r="D162" t="n">
        <v>160</v>
      </c>
      <c r="E162" s="3" t="n">
        <v>45799</v>
      </c>
      <c r="F162" t="inlineStr">
        <is>
          <t>Punto de Acuerdo</t>
        </is>
      </c>
      <c r="G162" t="inlineStr">
        <is>
          <t>Acuerdo por el que se exhorta a la secretaría de gobernación del estado para que, en coordinación con los doscientos diecisiete sistemas municipales dif, implemente en los municipios de la entidad una campaña para el registro y expedición de s de nacimiento</t>
        </is>
      </c>
      <c r="H162" t="n">
        <v>2</v>
      </c>
      <c r="I162" t="inlineStr">
        <is>
          <t>Pobreza y Política Social</t>
        </is>
      </c>
      <c r="J162" t="n">
        <v>39</v>
      </c>
      <c r="K162" t="n">
        <v>0</v>
      </c>
      <c r="L162" t="n">
        <v>0</v>
      </c>
      <c r="M162" t="n">
        <v>2</v>
      </c>
      <c r="N162">
        <f>SUM(J162:M162)</f>
        <v/>
      </c>
      <c r="O162" s="4">
        <f>SUM(J162:L162)/SUM(J162:M162)</f>
        <v/>
      </c>
      <c r="P162" s="5">
        <f>MAX(J162:L162)/SUM(J162:L162)</f>
        <v/>
      </c>
    </row>
    <row r="163">
      <c r="A163" t="inlineStr">
        <is>
          <t>Primer año</t>
        </is>
      </c>
      <c r="B163" t="inlineStr">
        <is>
          <t>Tercer periodo</t>
        </is>
      </c>
      <c r="C163" t="n">
        <v>9</v>
      </c>
      <c r="D163" t="n">
        <v>161</v>
      </c>
      <c r="E163" s="3" t="n">
        <v>45799</v>
      </c>
      <c r="F163" t="inlineStr">
        <is>
          <t>Punto de Acuerdo</t>
        </is>
      </c>
      <c r="G163" t="inlineStr">
        <is>
          <t>Acuerdo por el que se exhorta a la secretaría de gobernación y a la secretaría de desarrollo económico y trabajo, ambas del estado, para que, de manera coordinada con los gobiernos federal y municipales de la entidad, y en el ámbito de sus respectivas competencias, implementen una campaña de concientización y prevención del reclutamiento fraudulento de jóvenes, entre otro resolutivo y, en su caso, aprobación</t>
        </is>
      </c>
      <c r="H163" t="n">
        <v>3</v>
      </c>
      <c r="I163" t="inlineStr">
        <is>
          <t>Seguridad Pública, Protección Civil y Narcotráfico</t>
        </is>
      </c>
      <c r="J163" t="n">
        <v>39</v>
      </c>
      <c r="K163" t="n">
        <v>0</v>
      </c>
      <c r="L163" t="n">
        <v>0</v>
      </c>
      <c r="M163" t="n">
        <v>2</v>
      </c>
      <c r="N163">
        <f>SUM(J163:M163)</f>
        <v/>
      </c>
      <c r="O163" s="4">
        <f>SUM(J163:L163)/SUM(J163:M163)</f>
        <v/>
      </c>
      <c r="P163" s="5">
        <f>MAX(J163:L163)/SUM(J163:L163)</f>
        <v/>
      </c>
    </row>
    <row r="164">
      <c r="A164" t="inlineStr">
        <is>
          <t>Primer año</t>
        </is>
      </c>
      <c r="B164" t="inlineStr">
        <is>
          <t>Tercer periodo</t>
        </is>
      </c>
      <c r="C164" t="n">
        <v>10</v>
      </c>
      <c r="D164" t="n">
        <v>162</v>
      </c>
      <c r="E164" s="3" t="n">
        <v>45799</v>
      </c>
      <c r="F164" t="inlineStr">
        <is>
          <t>Punto de Acuerdo</t>
        </is>
      </c>
      <c r="G164" t="inlineStr">
        <is>
          <t>Acuerdo por el que se exhorta a los ayuntamientos de atlixco, huejotzingo, y tecamachalco, a fortalecer su participación en la red mundial de ciudades del aprendizaje de la unesco y mantener el galardón otorgado, mediante acciones permanentes que impulsen el aprendizaje a lo largo de la vida, la inclusión social, la sostenibilidad y la participación ciudadana</t>
        </is>
      </c>
      <c r="H164" t="n">
        <v>8</v>
      </c>
      <c r="I164" t="inlineStr">
        <is>
          <t>Educación y Cultura</t>
        </is>
      </c>
      <c r="J164" t="n">
        <v>39</v>
      </c>
      <c r="K164" t="n">
        <v>0</v>
      </c>
      <c r="L164" t="n">
        <v>0</v>
      </c>
      <c r="M164" t="n">
        <v>2</v>
      </c>
      <c r="N164">
        <f>SUM(J164:M164)</f>
        <v/>
      </c>
      <c r="O164" s="4">
        <f>SUM(J164:L164)/SUM(J164:M164)</f>
        <v/>
      </c>
      <c r="P164" s="5">
        <f>MAX(J164:L164)/SUM(J164:L164)</f>
        <v/>
      </c>
    </row>
    <row r="165">
      <c r="A165" t="inlineStr">
        <is>
          <t>Primer año</t>
        </is>
      </c>
      <c r="B165" t="inlineStr">
        <is>
          <t>Tercer periodo</t>
        </is>
      </c>
      <c r="C165" t="n">
        <v>11</v>
      </c>
      <c r="D165" t="n">
        <v>163</v>
      </c>
      <c r="E165" s="3" t="n">
        <v>45799</v>
      </c>
      <c r="F165" t="inlineStr">
        <is>
          <t>Punto de Acuerdo</t>
        </is>
      </c>
      <c r="G165" t="inlineStr">
        <is>
          <t>Acuerdo por el que se exhorta a la secretaría de educación y a los doscientos doce ayuntamientos y cinco concejos municipales del estado, para que en el ámbito de su competencia, fortalezcan de manera progresiva el desarrollo y, en su caso, la creación de escuelas de educación indígena, centros educativos integrales y/o albergues escolares indígenas</t>
        </is>
      </c>
      <c r="H165" t="n">
        <v>8</v>
      </c>
      <c r="I165" t="inlineStr">
        <is>
          <t>Educación y Cultura</t>
        </is>
      </c>
      <c r="J165" t="n">
        <v>39</v>
      </c>
      <c r="K165" t="n">
        <v>0</v>
      </c>
      <c r="L165" t="n">
        <v>0</v>
      </c>
      <c r="M165" t="n">
        <v>2</v>
      </c>
      <c r="N165">
        <f>SUM(J165:M165)</f>
        <v/>
      </c>
      <c r="O165" s="4">
        <f>SUM(J165:L165)/SUM(J165:M165)</f>
        <v/>
      </c>
      <c r="P165" s="5">
        <f>MAX(J165:L165)/SUM(J165:L165)</f>
        <v/>
      </c>
    </row>
    <row r="166">
      <c r="A166" t="inlineStr">
        <is>
          <t>Primer año</t>
        </is>
      </c>
      <c r="B166" t="inlineStr">
        <is>
          <t>Tercer periodo</t>
        </is>
      </c>
      <c r="C166" t="n">
        <v>12</v>
      </c>
      <c r="D166" t="n">
        <v>164</v>
      </c>
      <c r="E166" s="3" t="n">
        <v>45799</v>
      </c>
      <c r="F166" t="inlineStr">
        <is>
          <t>Punto de Acuerdo</t>
        </is>
      </c>
      <c r="G166" t="inlineStr">
        <is>
          <t>Acuerdo por el que se exhorta a la secretaría de medio ambiente, desarrollo sustentable y ordenamiento territorial del estado, para que en el ámbito de su competencia implemente campañas de concientización orientadas a la prevención y control de la contaminación visual</t>
        </is>
      </c>
      <c r="H166" t="n">
        <v>5</v>
      </c>
      <c r="I166" t="inlineStr">
        <is>
          <t>Medio Ambiente</t>
        </is>
      </c>
      <c r="J166" t="n">
        <v>39</v>
      </c>
      <c r="K166" t="n">
        <v>0</v>
      </c>
      <c r="L166" t="n">
        <v>0</v>
      </c>
      <c r="M166" t="n">
        <v>2</v>
      </c>
      <c r="N166">
        <f>SUM(J166:M166)</f>
        <v/>
      </c>
      <c r="O166" s="4">
        <f>SUM(J166:L166)/SUM(J166:M166)</f>
        <v/>
      </c>
      <c r="P166" s="5">
        <f>MAX(J166:L166)/SUM(J166:L166)</f>
        <v/>
      </c>
    </row>
    <row r="167">
      <c r="A167" t="inlineStr">
        <is>
          <t>Primer año</t>
        </is>
      </c>
      <c r="B167" t="inlineStr">
        <is>
          <t>Tercer periodo</t>
        </is>
      </c>
      <c r="C167" t="n">
        <v>13</v>
      </c>
      <c r="D167" t="n">
        <v>165</v>
      </c>
      <c r="E167" s="3" t="n">
        <v>45799</v>
      </c>
      <c r="F167" t="inlineStr">
        <is>
          <t>Punto de Acuerdo</t>
        </is>
      </c>
      <c r="G167" t="inlineStr">
        <is>
          <t>Acuerdo por el que se exhorta a los doscientos doce ayuntamientos y a los cinco concejos municipales del estado para que, en el ámbito de su competencia, fortalezcan y armonicen sus marcos normativos para prohibir la venta de bebidas alcohólicas en establecimientos mercantiles ubicados dentro de un perímetro de doscientos metros alrededor de centros educativos</t>
        </is>
      </c>
      <c r="H167" t="n">
        <v>6</v>
      </c>
      <c r="I167" t="inlineStr">
        <is>
          <t>Salud</t>
        </is>
      </c>
      <c r="J167" t="n">
        <v>39</v>
      </c>
      <c r="K167" t="n">
        <v>0</v>
      </c>
      <c r="L167" t="n">
        <v>0</v>
      </c>
      <c r="M167" t="n">
        <v>2</v>
      </c>
      <c r="N167">
        <f>SUM(J167:M167)</f>
        <v/>
      </c>
      <c r="O167" s="4">
        <f>SUM(J167:L167)/SUM(J167:M167)</f>
        <v/>
      </c>
      <c r="P167" s="5">
        <f>MAX(J167:L167)/SUM(J167:L167)</f>
        <v/>
      </c>
    </row>
    <row r="168">
      <c r="A168" t="inlineStr">
        <is>
          <t>Primer año</t>
        </is>
      </c>
      <c r="B168" t="inlineStr">
        <is>
          <t>Tercer periodo</t>
        </is>
      </c>
      <c r="C168" t="n">
        <v>14</v>
      </c>
      <c r="D168" t="n">
        <v>166</v>
      </c>
      <c r="E168" s="3" t="n">
        <v>45799</v>
      </c>
      <c r="F168" t="inlineStr">
        <is>
          <t>Punto de Acuerdo</t>
        </is>
      </c>
      <c r="G168" t="inlineStr">
        <is>
          <t>Acuerdo por el que se exhorta a los doscientos doce ayuntamientos y a los cinco concejos municipales del estado para que implementen programas de capacitación continua dirigidos a las personas servidoras públicas de sus administraciones, con el fin de optimizar los procedimientos administrativos relacionados con el cobro de los servicios a su cargo en especial del impuesto predial y del servicio de agua potable</t>
        </is>
      </c>
      <c r="H168" t="n">
        <v>18</v>
      </c>
      <c r="I168" t="inlineStr">
        <is>
          <t>Administración Pública</t>
        </is>
      </c>
      <c r="J168" t="n">
        <v>39</v>
      </c>
      <c r="K168" t="n">
        <v>0</v>
      </c>
      <c r="L168" t="n">
        <v>0</v>
      </c>
      <c r="M168" t="n">
        <v>2</v>
      </c>
      <c r="N168">
        <f>SUM(J168:M168)</f>
        <v/>
      </c>
      <c r="O168" s="4">
        <f>SUM(J168:L168)/SUM(J168:M168)</f>
        <v/>
      </c>
      <c r="P168" s="5">
        <f>MAX(J168:L168)/SUM(J168:L168)</f>
        <v/>
      </c>
    </row>
    <row r="169">
      <c r="A169" t="inlineStr">
        <is>
          <t>Primer año</t>
        </is>
      </c>
      <c r="B169" t="inlineStr">
        <is>
          <t>Tercer periodo</t>
        </is>
      </c>
      <c r="C169" t="n">
        <v>15</v>
      </c>
      <c r="D169" t="n">
        <v>167</v>
      </c>
      <c r="E169" s="3" t="n">
        <v>45799</v>
      </c>
      <c r="F169" t="inlineStr">
        <is>
          <t>Punto de Acuerdo</t>
        </is>
      </c>
      <c r="G169" t="inlineStr">
        <is>
          <t>Acuerdo por el que se exhorta a los doscientos doce ayuntamientos y a los cinco concejos municipales del estado, para que en el ámbito de su competencia, elaboren, actualicen y fortalezcan, en su caso, sus protocolos de prevención, atención, sanción y erradicación de la violencia de género, garantizando su construcción e implementación con base en las disposiciones legales en la materia, a fin de prevenir y reducir la violencia de género</t>
        </is>
      </c>
      <c r="H169" t="n">
        <v>20</v>
      </c>
      <c r="I169" t="inlineStr">
        <is>
          <t>Justicia y Estado de Derecho en temas de Mujeres</t>
        </is>
      </c>
      <c r="J169" t="n">
        <v>39</v>
      </c>
      <c r="K169" t="n">
        <v>0</v>
      </c>
      <c r="L169" t="n">
        <v>0</v>
      </c>
      <c r="M169" t="n">
        <v>2</v>
      </c>
      <c r="N169">
        <f>SUM(J169:M169)</f>
        <v/>
      </c>
      <c r="O169" s="4">
        <f>SUM(J169:L169)/SUM(J169:M169)</f>
        <v/>
      </c>
      <c r="P169" s="5">
        <f>MAX(J169:L169)/SUM(J169:L169)</f>
        <v/>
      </c>
    </row>
    <row r="170">
      <c r="A170" t="inlineStr">
        <is>
          <t>Primer año</t>
        </is>
      </c>
      <c r="B170" t="inlineStr">
        <is>
          <t>Tercer periodo</t>
        </is>
      </c>
      <c r="C170" t="n">
        <v>16</v>
      </c>
      <c r="D170" t="n">
        <v>168</v>
      </c>
      <c r="E170" s="3" t="n">
        <v>45799</v>
      </c>
      <c r="F170" t="inlineStr">
        <is>
          <t>Punto de Acuerdo</t>
        </is>
      </c>
      <c r="G170" t="inlineStr">
        <is>
          <t>Acuerdo por el que se exhorta a los doscientos doce ayuntamientos y a los cinco concejos municipales del estado, para que el cobro de derechos por los servicios que prestan se realice con apego a sus leyes de ingresos</t>
        </is>
      </c>
      <c r="H170" t="n">
        <v>7</v>
      </c>
      <c r="I170" t="inlineStr">
        <is>
          <t>Impuestos, Finanzas Públicas, Patrimonio estatal y municipal</t>
        </is>
      </c>
      <c r="J170" t="n">
        <v>39</v>
      </c>
      <c r="K170" t="n">
        <v>0</v>
      </c>
      <c r="L170" t="n">
        <v>0</v>
      </c>
      <c r="M170" t="n">
        <v>2</v>
      </c>
      <c r="N170">
        <f>SUM(J170:M170)</f>
        <v/>
      </c>
      <c r="O170" s="4">
        <f>SUM(J170:L170)/SUM(J170:M170)</f>
        <v/>
      </c>
      <c r="P170" s="5">
        <f>MAX(J170:L170)/SUM(J170:L170)</f>
        <v/>
      </c>
    </row>
    <row r="171">
      <c r="A171" t="inlineStr">
        <is>
          <t>Primer año</t>
        </is>
      </c>
      <c r="B171" t="inlineStr">
        <is>
          <t>Tercer periodo</t>
        </is>
      </c>
      <c r="C171" t="n">
        <v>17</v>
      </c>
      <c r="D171" t="n">
        <v>169</v>
      </c>
      <c r="E171" s="3" t="n">
        <v>45806</v>
      </c>
      <c r="F171" t="inlineStr">
        <is>
          <t>Iniciativa</t>
        </is>
      </c>
      <c r="G171" t="inlineStr">
        <is>
          <t>Dictamen con minuta de decreto por el cual se reforman y derogan diversas disposiciones de la Constitución Política del Estado Libre y Soberano</t>
        </is>
      </c>
      <c r="H171" t="n">
        <v>18</v>
      </c>
      <c r="I171" t="inlineStr">
        <is>
          <t>Administración Pública</t>
        </is>
      </c>
      <c r="J171" t="n">
        <v>34</v>
      </c>
      <c r="K171" t="n">
        <v>0</v>
      </c>
      <c r="L171" t="n">
        <v>6</v>
      </c>
      <c r="M171" t="n">
        <v>1</v>
      </c>
      <c r="N171">
        <f>SUM(J171:M171)</f>
        <v/>
      </c>
      <c r="O171" s="4">
        <f>SUM(J171:L171)/SUM(J171:M171)</f>
        <v/>
      </c>
      <c r="P171" s="5">
        <f>MAX(J171:L171)/SUM(J171:L171)</f>
        <v/>
      </c>
    </row>
    <row r="172">
      <c r="A172" t="inlineStr">
        <is>
          <t>Primer año</t>
        </is>
      </c>
      <c r="B172" t="inlineStr">
        <is>
          <t>Tercer periodo</t>
        </is>
      </c>
      <c r="C172" t="n">
        <v>18</v>
      </c>
      <c r="D172" t="n">
        <v>170</v>
      </c>
      <c r="E172" s="3" t="n">
        <v>45806</v>
      </c>
      <c r="F172" t="inlineStr">
        <is>
          <t>Iniciativa</t>
        </is>
      </c>
      <c r="G172" t="inlineStr">
        <is>
          <t>Dictamen con minuta de decreto por el cual se aprueban los artículos reservados en materia de transparencia</t>
        </is>
      </c>
      <c r="H172" t="n">
        <v>10</v>
      </c>
      <c r="I172" t="inlineStr">
        <is>
          <t>Transparencia y Rendición de Cuentas</t>
        </is>
      </c>
      <c r="J172" t="n">
        <v>33</v>
      </c>
      <c r="K172" t="n">
        <v>7</v>
      </c>
      <c r="L172" t="n">
        <v>0</v>
      </c>
      <c r="M172" t="n">
        <v>1</v>
      </c>
      <c r="N172">
        <f>SUM(J172:M172)</f>
        <v/>
      </c>
      <c r="O172" s="4">
        <f>SUM(J172:L172)/SUM(J172:M172)</f>
        <v/>
      </c>
      <c r="P172" s="5">
        <f>MAX(J172:L172)/SUM(J172:L172)</f>
        <v/>
      </c>
    </row>
    <row r="173">
      <c r="A173" t="inlineStr">
        <is>
          <t>Primer año</t>
        </is>
      </c>
      <c r="B173" t="inlineStr">
        <is>
          <t>Tercer periodo</t>
        </is>
      </c>
      <c r="C173" t="n">
        <v>19</v>
      </c>
      <c r="D173" t="n">
        <v>171</v>
      </c>
      <c r="E173" s="3" t="n">
        <v>45806</v>
      </c>
      <c r="F173" t="inlineStr">
        <is>
          <t>Iniciativa</t>
        </is>
      </c>
      <c r="G173" t="inlineStr">
        <is>
          <t>Dictamen con minuta de decreto por el cual se reforman y adicionan diversas disposiciones de la Constitución Política del Estado Libre y Soberano, en materia de igualdad sustantiva y erradicación de la brecha salarial por razones de género</t>
        </is>
      </c>
      <c r="H173" t="n">
        <v>20</v>
      </c>
      <c r="I173" t="inlineStr">
        <is>
          <t>Justicia y Estado de Derecho en temas de Mujeres</t>
        </is>
      </c>
      <c r="J173" t="n">
        <v>40</v>
      </c>
      <c r="K173" t="n">
        <v>0</v>
      </c>
      <c r="L173" t="n">
        <v>0</v>
      </c>
      <c r="M173" t="n">
        <v>1</v>
      </c>
      <c r="N173">
        <f>SUM(J173:M173)</f>
        <v/>
      </c>
      <c r="O173" s="4">
        <f>SUM(J173:L173)/SUM(J173:M173)</f>
        <v/>
      </c>
      <c r="P173" s="5">
        <f>MAX(J173:L173)/SUM(J173:L173)</f>
        <v/>
      </c>
    </row>
    <row r="174">
      <c r="A174" t="inlineStr">
        <is>
          <t>Primer año</t>
        </is>
      </c>
      <c r="B174" t="inlineStr">
        <is>
          <t>Tercer periodo</t>
        </is>
      </c>
      <c r="C174" t="n">
        <v>20</v>
      </c>
      <c r="D174" t="n">
        <v>172</v>
      </c>
      <c r="E174" s="3" t="n">
        <v>45806</v>
      </c>
      <c r="F174" t="inlineStr">
        <is>
          <t>Iniciativa</t>
        </is>
      </c>
      <c r="G174" t="inlineStr">
        <is>
          <t>Dictamen con minuta de decreto por el cual se reforman y adicionan diversas disposiciones del similar por el que se crea el organismo público descentralizado denominado “Universidad de la Salud”</t>
        </is>
      </c>
      <c r="H174" t="n">
        <v>6</v>
      </c>
      <c r="I174" t="inlineStr">
        <is>
          <t>Salud</t>
        </is>
      </c>
      <c r="J174" t="n">
        <v>40</v>
      </c>
      <c r="K174" t="n">
        <v>0</v>
      </c>
      <c r="L174" t="n">
        <v>0</v>
      </c>
      <c r="M174" t="n">
        <v>1</v>
      </c>
      <c r="N174">
        <f>SUM(J174:M174)</f>
        <v/>
      </c>
      <c r="O174" s="4">
        <f>SUM(J174:L174)/SUM(J174:M174)</f>
        <v/>
      </c>
      <c r="P174" s="5">
        <f>MAX(J174:L174)/SUM(J174:L174)</f>
        <v/>
      </c>
    </row>
    <row r="175">
      <c r="A175" t="inlineStr">
        <is>
          <t>Primer año</t>
        </is>
      </c>
      <c r="B175" t="inlineStr">
        <is>
          <t>Tercer periodo</t>
        </is>
      </c>
      <c r="C175" t="n">
        <v>21</v>
      </c>
      <c r="D175" t="n">
        <v>173</v>
      </c>
      <c r="E175" s="3" t="n">
        <v>45806</v>
      </c>
      <c r="F175" t="inlineStr">
        <is>
          <t>Iniciativa</t>
        </is>
      </c>
      <c r="G175" t="inlineStr">
        <is>
          <t>Dictamen con minuta de decreto por el cual se reforman y adicionan diversas disposiciones de la Ley para la Igualdad entre Mujeres y Hombres del Estado y de la Ley para el Acceso de las Mujeres a una Vida Libre de Violencia del Estado</t>
        </is>
      </c>
      <c r="H175" t="n">
        <v>20</v>
      </c>
      <c r="I175" t="inlineStr">
        <is>
          <t>Justicia y Estado de Derecho en temas de Mujeres</t>
        </is>
      </c>
      <c r="J175" t="n">
        <v>40</v>
      </c>
      <c r="K175" t="n">
        <v>0</v>
      </c>
      <c r="L175" t="n">
        <v>0</v>
      </c>
      <c r="M175" t="n">
        <v>1</v>
      </c>
      <c r="N175">
        <f>SUM(J175:M175)</f>
        <v/>
      </c>
      <c r="O175" s="4">
        <f>SUM(J175:L175)/SUM(J175:M175)</f>
        <v/>
      </c>
      <c r="P175" s="5">
        <f>MAX(J175:L175)/SUM(J175:L175)</f>
        <v/>
      </c>
    </row>
    <row r="176">
      <c r="A176" t="inlineStr">
        <is>
          <t>Primer año</t>
        </is>
      </c>
      <c r="B176" t="inlineStr">
        <is>
          <t>Tercer periodo</t>
        </is>
      </c>
      <c r="C176" t="n">
        <v>22</v>
      </c>
      <c r="D176" t="n">
        <v>174</v>
      </c>
      <c r="E176" s="3" t="n">
        <v>45806</v>
      </c>
      <c r="F176" t="inlineStr">
        <is>
          <t>Iniciativa</t>
        </is>
      </c>
      <c r="G176" t="inlineStr">
        <is>
          <t>Dictamen con minuta de decreto por el cual se modifica el destino de la donación hecha por el Honorable Ayuntamiento del Municipio de Amozoc, a favor del organismo público descentralizado denominado “Instituto Mexicano del Seguro Social”</t>
        </is>
      </c>
      <c r="H176" t="n">
        <v>7</v>
      </c>
      <c r="I176" t="inlineStr">
        <is>
          <t>Impuestos, Finanzas Públicas, Patrimonio estatal y municipal</t>
        </is>
      </c>
      <c r="J176" t="n">
        <v>40</v>
      </c>
      <c r="K176" t="n">
        <v>0</v>
      </c>
      <c r="L176" t="n">
        <v>0</v>
      </c>
      <c r="M176" t="n">
        <v>1</v>
      </c>
      <c r="N176">
        <f>SUM(J176:M176)</f>
        <v/>
      </c>
      <c r="O176" s="4">
        <f>SUM(J176:L176)/SUM(J176:M176)</f>
        <v/>
      </c>
      <c r="P176" s="5">
        <f>MAX(J176:L176)/SUM(J176:L176)</f>
        <v/>
      </c>
    </row>
    <row r="177">
      <c r="A177" t="inlineStr">
        <is>
          <t>Primer año</t>
        </is>
      </c>
      <c r="B177" t="inlineStr">
        <is>
          <t>Tercer periodo</t>
        </is>
      </c>
      <c r="C177" t="n">
        <v>23</v>
      </c>
      <c r="D177" t="n">
        <v>175</v>
      </c>
      <c r="E177" s="3" t="n">
        <v>45806</v>
      </c>
      <c r="F177" t="inlineStr">
        <is>
          <t>Iniciativa</t>
        </is>
      </c>
      <c r="G177" t="inlineStr">
        <is>
          <t>Dictamen con minuta de decreto por el cual se autoriza al Honorable Ayuntamiento del Municipio de Cuautlancingo, la enajenación bajo la figura de donación a título gratuito</t>
        </is>
      </c>
      <c r="H177" t="n">
        <v>7</v>
      </c>
      <c r="I177" t="inlineStr">
        <is>
          <t>Impuestos, Finanzas Públicas, Patrimonio estatal y municipal</t>
        </is>
      </c>
      <c r="J177" t="n">
        <v>40</v>
      </c>
      <c r="K177" t="n">
        <v>0</v>
      </c>
      <c r="L177" t="n">
        <v>0</v>
      </c>
      <c r="M177" t="n">
        <v>1</v>
      </c>
      <c r="N177">
        <f>SUM(J177:M177)</f>
        <v/>
      </c>
      <c r="O177" s="4">
        <f>SUM(J177:L177)/SUM(J177:M177)</f>
        <v/>
      </c>
      <c r="P177" s="5">
        <f>MAX(J177:L177)/SUM(J177:L177)</f>
        <v/>
      </c>
    </row>
    <row r="178">
      <c r="A178" t="inlineStr">
        <is>
          <t>Primer año</t>
        </is>
      </c>
      <c r="B178" t="inlineStr">
        <is>
          <t>Tercer periodo</t>
        </is>
      </c>
      <c r="C178" t="n">
        <v>24</v>
      </c>
      <c r="D178" t="n">
        <v>176</v>
      </c>
      <c r="E178" s="3" t="n">
        <v>45806</v>
      </c>
      <c r="F178" t="inlineStr">
        <is>
          <t>Iniciativa</t>
        </is>
      </c>
      <c r="G178" t="inlineStr">
        <is>
          <t>Dictamen con minuta de decreto por el cual se reforma el acápite y la fracción II del artículo 11 del decreto que crea el Colegio de Estudios Científicos y Tecnológicos del Estado</t>
        </is>
      </c>
      <c r="H178" t="n">
        <v>8</v>
      </c>
      <c r="I178" t="inlineStr">
        <is>
          <t>Educación y Cultura</t>
        </is>
      </c>
      <c r="J178" t="n">
        <v>40</v>
      </c>
      <c r="K178" t="n">
        <v>0</v>
      </c>
      <c r="L178" t="n">
        <v>0</v>
      </c>
      <c r="M178" t="n">
        <v>1</v>
      </c>
      <c r="N178">
        <f>SUM(J178:M178)</f>
        <v/>
      </c>
      <c r="O178" s="4">
        <f>SUM(J178:L178)/SUM(J178:M178)</f>
        <v/>
      </c>
      <c r="P178" s="5">
        <f>MAX(J178:L178)/SUM(J178:L178)</f>
        <v/>
      </c>
    </row>
    <row r="179">
      <c r="A179" t="inlineStr">
        <is>
          <t>Primer año</t>
        </is>
      </c>
      <c r="B179" t="inlineStr">
        <is>
          <t>Tercer periodo</t>
        </is>
      </c>
      <c r="C179" t="n">
        <v>25</v>
      </c>
      <c r="D179" t="n">
        <v>177</v>
      </c>
      <c r="E179" s="3" t="n">
        <v>45806</v>
      </c>
      <c r="F179" t="inlineStr">
        <is>
          <t>Punto de Acuerdo</t>
        </is>
      </c>
      <c r="G179" t="inlineStr">
        <is>
          <t>Acuerdo por el que se exhorta a la Fiscalía General del Estado para ampliar el catálogo de delitos que pueden ser denunciados a través de medios electrónicos</t>
        </is>
      </c>
      <c r="H179" t="n">
        <v>14</v>
      </c>
      <c r="I179" t="inlineStr">
        <is>
          <t>Justicia y Estado de Derecho</t>
        </is>
      </c>
      <c r="J179" t="n">
        <v>40</v>
      </c>
      <c r="K179" t="n">
        <v>0</v>
      </c>
      <c r="L179" t="n">
        <v>0</v>
      </c>
      <c r="M179" t="n">
        <v>1</v>
      </c>
      <c r="N179">
        <f>SUM(J179:M179)</f>
        <v/>
      </c>
      <c r="O179" s="4">
        <f>SUM(J179:L179)/SUM(J179:M179)</f>
        <v/>
      </c>
      <c r="P179" s="5">
        <f>MAX(J179:L179)/SUM(J179:L179)</f>
        <v/>
      </c>
    </row>
    <row r="180">
      <c r="A180" t="inlineStr">
        <is>
          <t>Primer año</t>
        </is>
      </c>
      <c r="B180" t="inlineStr">
        <is>
          <t>Tercer periodo</t>
        </is>
      </c>
      <c r="C180" t="n">
        <v>26</v>
      </c>
      <c r="D180" t="n">
        <v>178</v>
      </c>
      <c r="E180" s="3" t="n">
        <v>45806</v>
      </c>
      <c r="F180" t="inlineStr">
        <is>
          <t>Punto de Acuerdo</t>
        </is>
      </c>
      <c r="G180" t="inlineStr">
        <is>
          <t>Acuerdo por el que se exhorta a la Secretaría de Gobernación y a los ayuntamientos para realizar actos de inspección, supervisión y vigilancia en espacios de eventos públicos</t>
        </is>
      </c>
      <c r="H180" t="n">
        <v>3</v>
      </c>
      <c r="I180" t="inlineStr">
        <is>
          <t>Seguridad Pública, Protección Civil y Narcotráfico</t>
        </is>
      </c>
      <c r="J180" t="n">
        <v>40</v>
      </c>
      <c r="K180" t="n">
        <v>0</v>
      </c>
      <c r="L180" t="n">
        <v>0</v>
      </c>
      <c r="M180" t="n">
        <v>1</v>
      </c>
      <c r="N180">
        <f>SUM(J180:M180)</f>
        <v/>
      </c>
      <c r="O180" s="4">
        <f>SUM(J180:L180)/SUM(J180:M180)</f>
        <v/>
      </c>
      <c r="P180" s="5">
        <f>MAX(J180:L180)/SUM(J180:L180)</f>
        <v/>
      </c>
    </row>
    <row r="181">
      <c r="A181" t="inlineStr">
        <is>
          <t>Primer año</t>
        </is>
      </c>
      <c r="B181" t="inlineStr">
        <is>
          <t>Tercer periodo</t>
        </is>
      </c>
      <c r="C181" t="n">
        <v>27</v>
      </c>
      <c r="D181" t="n">
        <v>179</v>
      </c>
      <c r="E181" s="3" t="n">
        <v>45806</v>
      </c>
      <c r="F181" t="inlineStr">
        <is>
          <t>Punto de Acuerdo</t>
        </is>
      </c>
      <c r="G181" t="inlineStr">
        <is>
          <t>Acuerdo por el que se exhorta a la Secretaría de Ciencia, Humanidades, Tecnología e Innovación del Estado para vincular a investigadores con el sector industrial</t>
        </is>
      </c>
      <c r="H181" t="n">
        <v>1</v>
      </c>
      <c r="I181" t="inlineStr">
        <is>
          <t>Economía, Comercio y Competitividad</t>
        </is>
      </c>
      <c r="J181" t="n">
        <v>40</v>
      </c>
      <c r="K181" t="n">
        <v>0</v>
      </c>
      <c r="L181" t="n">
        <v>0</v>
      </c>
      <c r="M181" t="n">
        <v>1</v>
      </c>
      <c r="N181">
        <f>SUM(J181:M181)</f>
        <v/>
      </c>
      <c r="O181" s="4">
        <f>SUM(J181:L181)/SUM(J181:M181)</f>
        <v/>
      </c>
      <c r="P181" s="5">
        <f>MAX(J181:L181)/SUM(J181:L181)</f>
        <v/>
      </c>
    </row>
    <row r="182">
      <c r="A182" t="inlineStr">
        <is>
          <t>Primer año</t>
        </is>
      </c>
      <c r="B182" t="inlineStr">
        <is>
          <t>Tercer periodo</t>
        </is>
      </c>
      <c r="C182" t="n">
        <v>28</v>
      </c>
      <c r="D182" t="n">
        <v>180</v>
      </c>
      <c r="E182" s="3" t="n">
        <v>45806</v>
      </c>
      <c r="F182" t="inlineStr">
        <is>
          <t>Punto de Acuerdo</t>
        </is>
      </c>
      <c r="G182" t="inlineStr">
        <is>
          <t>Acuerdo por el cual se exhorta a los ayuntamientos de la Zona Metropolitana del Estado para implementar acciones y políticas públicas para impulsar la economía circular</t>
        </is>
      </c>
      <c r="H182" t="n">
        <v>5</v>
      </c>
      <c r="I182" t="inlineStr">
        <is>
          <t>Medio Ambiente</t>
        </is>
      </c>
      <c r="J182" t="n">
        <v>40</v>
      </c>
      <c r="K182" t="n">
        <v>0</v>
      </c>
      <c r="L182" t="n">
        <v>0</v>
      </c>
      <c r="M182" t="n">
        <v>1</v>
      </c>
      <c r="N182">
        <f>SUM(J182:M182)</f>
        <v/>
      </c>
      <c r="O182" s="4">
        <f>SUM(J182:L182)/SUM(J182:M182)</f>
        <v/>
      </c>
      <c r="P182" s="5">
        <f>MAX(J182:L182)/SUM(J182:L182)</f>
        <v/>
      </c>
    </row>
    <row r="183">
      <c r="A183" t="inlineStr">
        <is>
          <t>Primer año</t>
        </is>
      </c>
      <c r="B183" t="inlineStr">
        <is>
          <t>Tercer periodo</t>
        </is>
      </c>
      <c r="C183" t="n">
        <v>29</v>
      </c>
      <c r="D183" t="n">
        <v>181</v>
      </c>
      <c r="E183" s="3" t="n">
        <v>45813</v>
      </c>
      <c r="F183" t="inlineStr">
        <is>
          <t>Punto de Acuerdo</t>
        </is>
      </c>
      <c r="G183" t="inlineStr">
        <is>
          <t>Acuerdo por el cual la revocación del mandato del presidente municipal, las regidoras y los regidores y de la síndica municipal, y se declara la desaparición del ayuntamiento de San Nicolás Buenos Aires</t>
        </is>
      </c>
      <c r="H183" t="n">
        <v>18</v>
      </c>
      <c r="I183" t="inlineStr">
        <is>
          <t>Administración Pública</t>
        </is>
      </c>
      <c r="J183" t="n">
        <v>38</v>
      </c>
      <c r="K183" t="n">
        <v>0</v>
      </c>
      <c r="L183" t="n">
        <v>1</v>
      </c>
      <c r="M183" t="n">
        <v>0</v>
      </c>
      <c r="N183">
        <f>SUM(J183:M183)</f>
        <v/>
      </c>
      <c r="O183" s="4">
        <f>SUM(J183:L183)/SUM(J183:M183)</f>
        <v/>
      </c>
      <c r="P183" s="5">
        <f>MAX(J183:L183)/SUM(J183:L183)</f>
        <v/>
      </c>
    </row>
    <row r="184">
      <c r="A184" t="inlineStr">
        <is>
          <t>Primer año</t>
        </is>
      </c>
      <c r="B184" t="inlineStr">
        <is>
          <t>Tercer periodo</t>
        </is>
      </c>
      <c r="C184" t="n">
        <v>30</v>
      </c>
      <c r="D184" t="n">
        <v>182</v>
      </c>
      <c r="E184" s="3" t="n">
        <v>45813</v>
      </c>
      <c r="F184" t="inlineStr">
        <is>
          <t>Iniciativa</t>
        </is>
      </c>
      <c r="G184" t="inlineStr">
        <is>
          <t>Dictamen con minuta de decreto por el cual se reforman y adicionan diversas disposiciones de la Ley de Arbolado y Áreas Verdes Urbanas del Estado de Puebla</t>
        </is>
      </c>
      <c r="H184" t="n">
        <v>5</v>
      </c>
      <c r="I184" t="inlineStr">
        <is>
          <t>Medio Ambiente</t>
        </is>
      </c>
      <c r="J184" t="n">
        <v>34</v>
      </c>
      <c r="K184" t="n">
        <v>0</v>
      </c>
      <c r="L184" t="n">
        <v>5</v>
      </c>
      <c r="M184" t="n">
        <v>0</v>
      </c>
      <c r="N184">
        <f>SUM(J184:M184)</f>
        <v/>
      </c>
      <c r="O184" s="4">
        <f>SUM(J184:L184)/SUM(J184:M184)</f>
        <v/>
      </c>
      <c r="P184" s="5">
        <f>MAX(J184:L184)/SUM(J184:L184)</f>
        <v/>
      </c>
    </row>
    <row r="185">
      <c r="A185" t="inlineStr">
        <is>
          <t>Primer año</t>
        </is>
      </c>
      <c r="B185" t="inlineStr">
        <is>
          <t>Tercer periodo</t>
        </is>
      </c>
      <c r="C185" t="n">
        <v>31</v>
      </c>
      <c r="D185" t="n">
        <v>183</v>
      </c>
      <c r="E185" s="3" t="n">
        <v>45813</v>
      </c>
      <c r="F185" t="inlineStr">
        <is>
          <t>Iniciativa</t>
        </is>
      </c>
      <c r="G185" t="inlineStr">
        <is>
          <t>Dictamen con minuta de decreto por el cual se reforman y adicionan diversas disposiciones del decreto del Honorable Congreso del Estado, por el que crea el organismo público descentralizado denominado “Ciudad Modelo”</t>
        </is>
      </c>
      <c r="H185" t="n">
        <v>18</v>
      </c>
      <c r="I185" t="inlineStr">
        <is>
          <t>Administración Pública</t>
        </is>
      </c>
      <c r="J185" t="n">
        <v>39</v>
      </c>
      <c r="K185" t="n">
        <v>0</v>
      </c>
      <c r="L185" t="n">
        <v>0</v>
      </c>
      <c r="M185" t="n">
        <v>0</v>
      </c>
      <c r="N185">
        <f>SUM(J185:M185)</f>
        <v/>
      </c>
      <c r="O185" s="4">
        <f>SUM(J185:L185)/SUM(J185:M185)</f>
        <v/>
      </c>
      <c r="P185" s="5">
        <f>MAX(J185:L185)/SUM(J185:L185)</f>
        <v/>
      </c>
    </row>
    <row r="186">
      <c r="A186" t="inlineStr">
        <is>
          <t>Primer año</t>
        </is>
      </c>
      <c r="B186" t="inlineStr">
        <is>
          <t>Tercer periodo</t>
        </is>
      </c>
      <c r="C186" t="n">
        <v>32</v>
      </c>
      <c r="D186" t="n">
        <v>184</v>
      </c>
      <c r="E186" s="3" t="n">
        <v>45813</v>
      </c>
      <c r="F186" t="inlineStr">
        <is>
          <t>Iniciativa</t>
        </is>
      </c>
      <c r="G186" t="inlineStr">
        <is>
          <t>Dictamen con minuta de decreto por el cual se autoriza al Gobierno del Estado de Puebla, la enajenación bajo la figura de donación a título gratuito respecto de una superficie total de 4,441.17 metros cuadrados</t>
        </is>
      </c>
      <c r="H186" t="n">
        <v>7</v>
      </c>
      <c r="I186" t="inlineStr">
        <is>
          <t>Impuestos, Finanzas Públicas, Patrimonio estatal y municipal</t>
        </is>
      </c>
      <c r="J186" t="n">
        <v>39</v>
      </c>
      <c r="K186" t="n">
        <v>0</v>
      </c>
      <c r="L186" t="n">
        <v>0</v>
      </c>
      <c r="M186" t="n">
        <v>0</v>
      </c>
      <c r="N186">
        <f>SUM(J186:M186)</f>
        <v/>
      </c>
      <c r="O186" s="4">
        <f>SUM(J186:L186)/SUM(J186:M186)</f>
        <v/>
      </c>
      <c r="P186" s="5">
        <f>MAX(J186:L186)/SUM(J186:L186)</f>
        <v/>
      </c>
    </row>
    <row r="187">
      <c r="A187" t="inlineStr">
        <is>
          <t>Primer año</t>
        </is>
      </c>
      <c r="B187" t="inlineStr">
        <is>
          <t>Tercer periodo</t>
        </is>
      </c>
      <c r="C187" t="n">
        <v>33</v>
      </c>
      <c r="D187" t="n">
        <v>185</v>
      </c>
      <c r="E187" s="3" t="n">
        <v>45813</v>
      </c>
      <c r="F187" t="inlineStr">
        <is>
          <t>Iniciativa</t>
        </is>
      </c>
      <c r="G187" t="inlineStr">
        <is>
          <t>Dictamen con minuta de decreto por el cual se autoriza al Gobierno del Estado de Puebla, la enajenación bajo la figura de donación a título gratuito respecto de una superficie total de 45,080.06 metros cuadrados</t>
        </is>
      </c>
      <c r="H187" t="n">
        <v>7</v>
      </c>
      <c r="I187" t="inlineStr">
        <is>
          <t>Impuestos, Finanzas Públicas, Patrimonio estatal y municipal</t>
        </is>
      </c>
      <c r="J187" t="n">
        <v>39</v>
      </c>
      <c r="K187" t="n">
        <v>0</v>
      </c>
      <c r="L187" t="n">
        <v>0</v>
      </c>
      <c r="M187" t="n">
        <v>0</v>
      </c>
      <c r="N187">
        <f>SUM(J187:M187)</f>
        <v/>
      </c>
      <c r="O187" s="4">
        <f>SUM(J187:L187)/SUM(J187:M187)</f>
        <v/>
      </c>
      <c r="P187" s="5">
        <f>MAX(J187:L187)/SUM(J187:L187)</f>
        <v/>
      </c>
    </row>
    <row r="188">
      <c r="A188" t="inlineStr">
        <is>
          <t>Primer año</t>
        </is>
      </c>
      <c r="B188" t="inlineStr">
        <is>
          <t>Tercer periodo</t>
        </is>
      </c>
      <c r="C188" t="n">
        <v>34</v>
      </c>
      <c r="D188" t="n">
        <v>186</v>
      </c>
      <c r="E188" s="3" t="n">
        <v>45813</v>
      </c>
      <c r="F188" t="inlineStr">
        <is>
          <t>Iniciativa</t>
        </is>
      </c>
      <c r="G188" t="inlineStr">
        <is>
          <t>Dictamen con minuta de decreto por el cual se reforma la denominación del capítulo XIX del título décimo segundo y el primer párrafo del artículo 309; y se adiciona un tercer párrafo al artículo 259 bis y el 259 bis 1 de la Ley Estatal de Salud</t>
        </is>
      </c>
      <c r="H188" t="n">
        <v>6</v>
      </c>
      <c r="I188" t="inlineStr">
        <is>
          <t>Salud</t>
        </is>
      </c>
      <c r="J188" t="n">
        <v>39</v>
      </c>
      <c r="K188" t="n">
        <v>0</v>
      </c>
      <c r="L188" t="n">
        <v>0</v>
      </c>
      <c r="M188" t="n">
        <v>0</v>
      </c>
      <c r="N188">
        <f>SUM(J188:M188)</f>
        <v/>
      </c>
      <c r="O188" s="4">
        <f>SUM(J188:L188)/SUM(J188:M188)</f>
        <v/>
      </c>
      <c r="P188" s="5">
        <f>MAX(J188:L188)/SUM(J188:L188)</f>
        <v/>
      </c>
    </row>
    <row r="189">
      <c r="A189" t="inlineStr">
        <is>
          <t>Primer año</t>
        </is>
      </c>
      <c r="B189" t="inlineStr">
        <is>
          <t>Tercer periodo</t>
        </is>
      </c>
      <c r="C189" t="n">
        <v>35</v>
      </c>
      <c r="D189" t="n">
        <v>187</v>
      </c>
      <c r="E189" s="3" t="n">
        <v>45813</v>
      </c>
      <c r="F189" t="inlineStr">
        <is>
          <t>Iniciativa</t>
        </is>
      </c>
      <c r="G189" t="inlineStr">
        <is>
          <t>Dictamen con minuta de decreto por el cual se expide la Ley para la Prevención Social y Comunitaria de la Violencia y la Delincuencia del Estado de Puebla</t>
        </is>
      </c>
      <c r="H189" t="n">
        <v>3</v>
      </c>
      <c r="I189" t="inlineStr">
        <is>
          <t>Seguridad Pública, Protección Civil y Narcotráfico</t>
        </is>
      </c>
      <c r="J189" t="n">
        <v>39</v>
      </c>
      <c r="K189" t="n">
        <v>0</v>
      </c>
      <c r="L189" t="n">
        <v>0</v>
      </c>
      <c r="M189" t="n">
        <v>0</v>
      </c>
      <c r="N189">
        <f>SUM(J189:M189)</f>
        <v/>
      </c>
      <c r="O189" s="4">
        <f>SUM(J189:L189)/SUM(J189:M189)</f>
        <v/>
      </c>
      <c r="P189" s="5">
        <f>MAX(J189:L189)/SUM(J189:L189)</f>
        <v/>
      </c>
    </row>
    <row r="190">
      <c r="A190" t="inlineStr">
        <is>
          <t>Primer año</t>
        </is>
      </c>
      <c r="B190" t="inlineStr">
        <is>
          <t>Tercer periodo</t>
        </is>
      </c>
      <c r="C190" t="n">
        <v>36</v>
      </c>
      <c r="D190" t="n">
        <v>188</v>
      </c>
      <c r="E190" s="3" t="n">
        <v>45813</v>
      </c>
      <c r="F190" t="inlineStr">
        <is>
          <t>Punto de Acuerdo</t>
        </is>
      </c>
      <c r="G190" t="inlineStr">
        <is>
          <t>Acuerdo por el que se exhorta a la Secretaría de Salud del estado para que a través del Consejo Estatal contra las Adicciones</t>
        </is>
      </c>
      <c r="H190" t="n">
        <v>6</v>
      </c>
      <c r="I190" t="inlineStr">
        <is>
          <t>Salud</t>
        </is>
      </c>
      <c r="J190" t="n">
        <v>39</v>
      </c>
      <c r="K190" t="n">
        <v>0</v>
      </c>
      <c r="L190" t="n">
        <v>0</v>
      </c>
      <c r="M190" t="n">
        <v>0</v>
      </c>
      <c r="N190">
        <f>SUM(J190:M190)</f>
        <v/>
      </c>
      <c r="O190" s="4">
        <f>SUM(J190:L190)/SUM(J190:M190)</f>
        <v/>
      </c>
      <c r="P190" s="5">
        <f>MAX(J190:L190)/SUM(J190:L190)</f>
        <v/>
      </c>
    </row>
    <row r="191">
      <c r="A191" t="inlineStr">
        <is>
          <t>Primer año</t>
        </is>
      </c>
      <c r="B191" t="inlineStr">
        <is>
          <t>Tercer periodo</t>
        </is>
      </c>
      <c r="C191" t="n">
        <v>37</v>
      </c>
      <c r="D191" t="n">
        <v>189</v>
      </c>
      <c r="E191" s="3" t="n">
        <v>45813</v>
      </c>
      <c r="F191" t="inlineStr">
        <is>
          <t>Punto de Acuerdo</t>
        </is>
      </c>
      <c r="G191" t="inlineStr">
        <is>
          <t>Acuerdo por el que se exhorta a la Secretaría de Desarrollo Económico y Trabajo del estado de Puebla para que, conforme a sus atribuciones, implemente ferias de empleo permanentes dirigidas a madres solteras</t>
        </is>
      </c>
      <c r="H191" t="n">
        <v>16</v>
      </c>
      <c r="I191" t="inlineStr">
        <is>
          <t>Trabajo y Previsión Social</t>
        </is>
      </c>
      <c r="J191" t="n">
        <v>39</v>
      </c>
      <c r="K191" t="n">
        <v>0</v>
      </c>
      <c r="L191" t="n">
        <v>0</v>
      </c>
      <c r="M191" t="n">
        <v>0</v>
      </c>
      <c r="N191">
        <f>SUM(J191:M191)</f>
        <v/>
      </c>
      <c r="O191" s="4">
        <f>SUM(J191:L191)/SUM(J191:M191)</f>
        <v/>
      </c>
      <c r="P191" s="5">
        <f>MAX(J191:L191)/SUM(J191:L191)</f>
        <v/>
      </c>
    </row>
    <row r="192">
      <c r="A192" t="inlineStr">
        <is>
          <t>Primer año</t>
        </is>
      </c>
      <c r="B192" t="inlineStr">
        <is>
          <t>Tercer periodo</t>
        </is>
      </c>
      <c r="C192" t="n">
        <v>38</v>
      </c>
      <c r="D192" t="n">
        <v>190</v>
      </c>
      <c r="E192" s="3" t="n">
        <v>45813</v>
      </c>
      <c r="F192" t="inlineStr">
        <is>
          <t>Punto de Acuerdo</t>
        </is>
      </c>
      <c r="G192" t="inlineStr">
        <is>
          <t>Acuerdo por el que se exhorta a los doscientos quince ayuntamientos y a los dos concejos municipales del estado de Puebla, para que lleven a cabo una evaluación integral de sus administraciones</t>
        </is>
      </c>
      <c r="H192" t="n">
        <v>10</v>
      </c>
      <c r="I192" t="inlineStr">
        <is>
          <t>Transparencia y Rendición de Cuentas</t>
        </is>
      </c>
      <c r="J192" t="n">
        <v>39</v>
      </c>
      <c r="K192" t="n">
        <v>0</v>
      </c>
      <c r="L192" t="n">
        <v>0</v>
      </c>
      <c r="M192" t="n">
        <v>0</v>
      </c>
      <c r="N192">
        <f>SUM(J192:M192)</f>
        <v/>
      </c>
      <c r="O192" s="4">
        <f>SUM(J192:L192)/SUM(J192:M192)</f>
        <v/>
      </c>
      <c r="P192" s="5">
        <f>MAX(J192:L192)/SUM(J192:L192)</f>
        <v/>
      </c>
    </row>
    <row r="193">
      <c r="A193" t="inlineStr">
        <is>
          <t>Primer año</t>
        </is>
      </c>
      <c r="B193" t="inlineStr">
        <is>
          <t>Tercer periodo</t>
        </is>
      </c>
      <c r="C193" t="n">
        <v>39</v>
      </c>
      <c r="D193" t="n">
        <v>191</v>
      </c>
      <c r="E193" s="3" t="n">
        <v>45813</v>
      </c>
      <c r="F193" t="inlineStr">
        <is>
          <t>Punto de Acuerdo</t>
        </is>
      </c>
      <c r="G193" t="inlineStr">
        <is>
          <t>Acuerdo por el cual se prorroga la sesión hasta concluir todos los puntos del orden del día</t>
        </is>
      </c>
      <c r="H193" t="n">
        <v>19</v>
      </c>
      <c r="I193" t="inlineStr">
        <is>
          <t>Internos del Congreso</t>
        </is>
      </c>
      <c r="J193" t="n">
        <v>39</v>
      </c>
      <c r="K193" t="n">
        <v>0</v>
      </c>
      <c r="L193" t="n">
        <v>0</v>
      </c>
      <c r="M193" t="n">
        <v>0</v>
      </c>
      <c r="N193">
        <f>SUM(J193:M193)</f>
        <v/>
      </c>
      <c r="O193" s="4">
        <f>SUM(J193:L193)/SUM(J193:M193)</f>
        <v/>
      </c>
      <c r="P193" s="5">
        <f>MAX(J193:L193)/SUM(J193:L193)</f>
        <v/>
      </c>
    </row>
    <row r="194">
      <c r="A194" t="inlineStr">
        <is>
          <t>Primer año</t>
        </is>
      </c>
      <c r="B194" t="inlineStr">
        <is>
          <t>Tercer periodo</t>
        </is>
      </c>
      <c r="C194" t="n">
        <v>40</v>
      </c>
      <c r="D194" t="n">
        <v>192</v>
      </c>
      <c r="E194" s="3" t="n">
        <v>45820</v>
      </c>
      <c r="F194" t="inlineStr">
        <is>
          <t>Iniciativa</t>
        </is>
      </c>
      <c r="G194" t="inlineStr">
        <is>
          <t>Dictamen con minuta de decreto por el cual se reforman y adicionan diversas disposiciones del Código Penal del estado libre y soberano de</t>
        </is>
      </c>
      <c r="H194" t="n">
        <v>14</v>
      </c>
      <c r="I194" t="inlineStr">
        <is>
          <t>Justicia y Estado de Derecho</t>
        </is>
      </c>
      <c r="J194" t="n">
        <v>34</v>
      </c>
      <c r="K194" t="n">
        <v>6</v>
      </c>
      <c r="L194" t="n">
        <v>1</v>
      </c>
      <c r="M194" t="n">
        <v>0</v>
      </c>
      <c r="N194">
        <f>SUM(J194:M194)</f>
        <v/>
      </c>
      <c r="O194" s="4">
        <f>SUM(J194:L194)/SUM(J194:M194)</f>
        <v/>
      </c>
      <c r="P194" s="5">
        <f>MAX(J194:L194)/SUM(J194:L194)</f>
        <v/>
      </c>
    </row>
    <row r="195">
      <c r="A195" t="inlineStr">
        <is>
          <t>Primer año</t>
        </is>
      </c>
      <c r="B195" t="inlineStr">
        <is>
          <t>Tercer periodo</t>
        </is>
      </c>
      <c r="C195" t="n">
        <v>41</v>
      </c>
      <c r="D195" t="n">
        <v>193</v>
      </c>
      <c r="E195" s="3" t="n">
        <v>45820</v>
      </c>
      <c r="F195" t="inlineStr">
        <is>
          <t>Punto de Acuerdo</t>
        </is>
      </c>
      <c r="G195" t="inlineStr">
        <is>
          <t>Acuerdo por el que se exhorta a “Carreteras de Cuota- ” para que, de conformidad con sus atribuciones, continúe realizando los trabajos de conservación y mantenimiento en la autopista -Atlixco</t>
        </is>
      </c>
      <c r="H195" t="n">
        <v>11</v>
      </c>
      <c r="I195" t="inlineStr">
        <is>
          <t>Infraestructura, Movilidad y Transporte</t>
        </is>
      </c>
      <c r="J195" t="n">
        <v>41</v>
      </c>
      <c r="K195" t="n">
        <v>0</v>
      </c>
      <c r="L195" t="n">
        <v>0</v>
      </c>
      <c r="M195" t="n">
        <v>0</v>
      </c>
      <c r="N195">
        <f>SUM(J195:M195)</f>
        <v/>
      </c>
      <c r="O195" s="4">
        <f>SUM(J195:L195)/SUM(J195:M195)</f>
        <v/>
      </c>
      <c r="P195" s="5">
        <f>MAX(J195:L195)/SUM(J195:L195)</f>
        <v/>
      </c>
    </row>
    <row r="196">
      <c r="A196" t="inlineStr">
        <is>
          <t>Primer año</t>
        </is>
      </c>
      <c r="B196" t="inlineStr">
        <is>
          <t>Tercer periodo</t>
        </is>
      </c>
      <c r="C196" t="n">
        <v>42</v>
      </c>
      <c r="D196" t="n">
        <v>194</v>
      </c>
      <c r="E196" s="3" t="n">
        <v>45826</v>
      </c>
      <c r="F196" t="inlineStr">
        <is>
          <t>Iniciativa</t>
        </is>
      </c>
      <c r="G196" t="inlineStr">
        <is>
          <t>Dictamen con minuta de decreto por el cual se reforman y adicionan diversas disposiciones de la ley de movilidad y seguridad vial del estado</t>
        </is>
      </c>
      <c r="H196" t="n">
        <v>11</v>
      </c>
      <c r="I196" t="inlineStr">
        <is>
          <t>Infraestructura, Movilidad y Transporte</t>
        </is>
      </c>
      <c r="J196" t="n">
        <v>37</v>
      </c>
      <c r="K196" t="n">
        <v>2</v>
      </c>
      <c r="L196" t="n">
        <v>0</v>
      </c>
      <c r="M196" t="n">
        <v>2</v>
      </c>
      <c r="N196">
        <f>SUM(J196:M196)</f>
        <v/>
      </c>
      <c r="O196" s="4">
        <f>SUM(J196:L196)/SUM(J196:M196)</f>
        <v/>
      </c>
      <c r="P196" s="5">
        <f>MAX(J196:L196)/SUM(J196:L196)</f>
        <v/>
      </c>
    </row>
    <row r="197">
      <c r="A197" t="inlineStr">
        <is>
          <t>Primer año</t>
        </is>
      </c>
      <c r="B197" t="inlineStr">
        <is>
          <t>Tercer periodo</t>
        </is>
      </c>
      <c r="C197" t="n">
        <v>43</v>
      </c>
      <c r="D197" t="n">
        <v>195</v>
      </c>
      <c r="E197" s="3" t="n">
        <v>45826</v>
      </c>
      <c r="F197" t="inlineStr">
        <is>
          <t>Iniciativa</t>
        </is>
      </c>
      <c r="G197" t="inlineStr">
        <is>
          <t>Dictamen con minuta de decreto por el cual se reforman la fracción xii del artículo 31, la fracción xlviii del 35, la fracción xxvi del 36, la fracción xx del 37, la fracción xv del 42, el acápite del 43, las fracciones xi, xiv y xlvii del 44 y la denominación del capítulo xiii del título ii “de la administración pública centralizada”; todos de la ley orgánica de la administración pública del estado</t>
        </is>
      </c>
      <c r="H197" t="n">
        <v>18</v>
      </c>
      <c r="I197" t="inlineStr">
        <is>
          <t>Administración Pública</t>
        </is>
      </c>
      <c r="J197" t="n">
        <v>39</v>
      </c>
      <c r="K197" t="n">
        <v>0</v>
      </c>
      <c r="L197" t="n">
        <v>0</v>
      </c>
      <c r="M197" t="n">
        <v>2</v>
      </c>
      <c r="N197">
        <f>SUM(J197:M197)</f>
        <v/>
      </c>
      <c r="O197" s="4">
        <f>SUM(J197:L197)/SUM(J197:M197)</f>
        <v/>
      </c>
      <c r="P197" s="5">
        <f>MAX(J197:L197)/SUM(J197:L197)</f>
        <v/>
      </c>
    </row>
    <row r="198">
      <c r="A198" t="inlineStr">
        <is>
          <t>Primer año</t>
        </is>
      </c>
      <c r="B198" t="inlineStr">
        <is>
          <t>Tercer periodo</t>
        </is>
      </c>
      <c r="C198" t="n">
        <v>44</v>
      </c>
      <c r="D198" t="n">
        <v>196</v>
      </c>
      <c r="E198" s="3" t="n">
        <v>45826</v>
      </c>
      <c r="F198" t="inlineStr">
        <is>
          <t>Punto de Acuerdo</t>
        </is>
      </c>
      <c r="G198" t="inlineStr">
        <is>
          <t>Acuerdo por el que se exhorta a la secretaría de desarrollo económico y trabajo para que, en coordinación con la secretaría de las mujeres, la secretaría de arte y cultura, la secretaría de educación y el sistema estatal dif, así como con los doscientos catorce ayuntamientos y tres concejos municipales, implemente programas dirigidos a las mujeres jubiladas</t>
        </is>
      </c>
      <c r="H198" t="n">
        <v>2</v>
      </c>
      <c r="I198" t="inlineStr">
        <is>
          <t>Pobreza y Política Social</t>
        </is>
      </c>
      <c r="J198" t="n">
        <v>39</v>
      </c>
      <c r="K198" t="n">
        <v>0</v>
      </c>
      <c r="L198" t="n">
        <v>0</v>
      </c>
      <c r="M198" t="n">
        <v>2</v>
      </c>
      <c r="N198">
        <f>SUM(J198:M198)</f>
        <v/>
      </c>
      <c r="O198" s="4">
        <f>SUM(J198:L198)/SUM(J198:M198)</f>
        <v/>
      </c>
      <c r="P198" s="5">
        <f>MAX(J198:L198)/SUM(J198:L198)</f>
        <v/>
      </c>
    </row>
    <row r="199">
      <c r="A199" t="inlineStr">
        <is>
          <t>Primer año</t>
        </is>
      </c>
      <c r="B199" t="inlineStr">
        <is>
          <t>Tercer periodo</t>
        </is>
      </c>
      <c r="C199" t="n">
        <v>45</v>
      </c>
      <c r="D199" t="n">
        <v>197</v>
      </c>
      <c r="E199" s="3" t="n">
        <v>45826</v>
      </c>
      <c r="F199" t="inlineStr">
        <is>
          <t>Punto de Acuerdo</t>
        </is>
      </c>
      <c r="G199" t="inlineStr">
        <is>
          <t>Acuerdo por el que se exhorta a la secretaría de gobernación del estado para que, a través de la dirección general del registro del estado civil de las personas, difunda e implemente las acciones necesarias para agilizar la emisión de la clave única de registro de población (curp) y de las actas de nacimiento de las niñas, niños y adolescentes repatriados que lo requieran</t>
        </is>
      </c>
      <c r="H199" t="n">
        <v>9</v>
      </c>
      <c r="I199" t="inlineStr">
        <is>
          <t>Migración y fronteras</t>
        </is>
      </c>
      <c r="J199" t="n">
        <v>39</v>
      </c>
      <c r="K199" t="n">
        <v>0</v>
      </c>
      <c r="L199" t="n">
        <v>0</v>
      </c>
      <c r="M199" t="n">
        <v>2</v>
      </c>
      <c r="N199">
        <f>SUM(J199:M199)</f>
        <v/>
      </c>
      <c r="O199" s="4">
        <f>SUM(J199:L199)/SUM(J199:M199)</f>
        <v/>
      </c>
      <c r="P199" s="5">
        <f>MAX(J199:L199)/SUM(J199:L199)</f>
        <v/>
      </c>
    </row>
    <row r="200">
      <c r="A200" t="inlineStr">
        <is>
          <t>Primer año</t>
        </is>
      </c>
      <c r="B200" t="inlineStr">
        <is>
          <t>Tercer periodo</t>
        </is>
      </c>
      <c r="C200" t="n">
        <v>46</v>
      </c>
      <c r="D200" t="n">
        <v>198</v>
      </c>
      <c r="E200" s="3" t="n">
        <v>45826</v>
      </c>
      <c r="F200" t="inlineStr">
        <is>
          <t>Punto de Acuerdo</t>
        </is>
      </c>
      <c r="G200" t="inlineStr">
        <is>
          <t>Acuerdo por el que se exhorta a los doscientos catorce ayuntamientos y tres concejos municipales del estado, para que armonicen o, en su caso, emitan su normatividad en materia de movilidad y seguridad vial</t>
        </is>
      </c>
      <c r="H200" t="n">
        <v>11</v>
      </c>
      <c r="I200" t="inlineStr">
        <is>
          <t>Infraestructura, Movilidad y Transporte</t>
        </is>
      </c>
      <c r="J200" t="n">
        <v>39</v>
      </c>
      <c r="K200" t="n">
        <v>0</v>
      </c>
      <c r="L200" t="n">
        <v>0</v>
      </c>
      <c r="M200" t="n">
        <v>2</v>
      </c>
      <c r="N200">
        <f>SUM(J200:M200)</f>
        <v/>
      </c>
      <c r="O200" s="4">
        <f>SUM(J200:L200)/SUM(J200:M200)</f>
        <v/>
      </c>
      <c r="P200" s="5">
        <f>MAX(J200:L200)/SUM(J200:L200)</f>
        <v/>
      </c>
    </row>
    <row r="201">
      <c r="A201" t="inlineStr">
        <is>
          <t>Primer año</t>
        </is>
      </c>
      <c r="B201" t="inlineStr">
        <is>
          <t>Tercer periodo</t>
        </is>
      </c>
      <c r="C201" t="n">
        <v>47</v>
      </c>
      <c r="D201" t="n">
        <v>199</v>
      </c>
      <c r="E201" s="3" t="n">
        <v>45826</v>
      </c>
      <c r="F201" t="inlineStr">
        <is>
          <t>Punto de Acuerdo</t>
        </is>
      </c>
      <c r="G201" t="inlineStr">
        <is>
          <t>Acuerdo por el cual se aprueba la prórroga de la sesión hasta concluir todos los puntos del orden del día</t>
        </is>
      </c>
      <c r="H201" t="n">
        <v>19</v>
      </c>
      <c r="I201" t="inlineStr">
        <is>
          <t>Internos del Congreso</t>
        </is>
      </c>
      <c r="J201" t="n">
        <v>41</v>
      </c>
      <c r="K201" t="n">
        <v>0</v>
      </c>
      <c r="L201" t="n">
        <v>0</v>
      </c>
      <c r="M201" t="n">
        <v>0</v>
      </c>
      <c r="N201">
        <f>SUM(J201:M201)</f>
        <v/>
      </c>
      <c r="O201" s="4">
        <f>SUM(J201:L201)/SUM(J201:M201)</f>
        <v/>
      </c>
      <c r="P201" s="5">
        <f>MAX(J201:L201)/SUM(J201:L201)</f>
        <v/>
      </c>
    </row>
    <row r="202">
      <c r="A202" t="inlineStr">
        <is>
          <t>Primer año</t>
        </is>
      </c>
      <c r="B202" t="inlineStr">
        <is>
          <t>Tercer periodo</t>
        </is>
      </c>
      <c r="C202" t="n">
        <v>48</v>
      </c>
      <c r="D202" t="n">
        <v>200</v>
      </c>
      <c r="E202" s="3" t="n">
        <v>45831</v>
      </c>
      <c r="F202" t="inlineStr">
        <is>
          <t>Iniciativa</t>
        </is>
      </c>
      <c r="G202" t="inlineStr">
        <is>
          <t>Dictamen con minuta de decreto por el cual se revoca el mandato del presidente municipal, las regidoras y los regidores y de la síndica municipal, y se declara la desaparición del ayuntamiento de Ahuazotepec</t>
        </is>
      </c>
      <c r="H202" t="n">
        <v>18</v>
      </c>
      <c r="I202" t="inlineStr">
        <is>
          <t>Administración Pública</t>
        </is>
      </c>
      <c r="J202" t="n">
        <v>31</v>
      </c>
      <c r="K202" t="n">
        <v>2</v>
      </c>
      <c r="L202" t="n">
        <v>4</v>
      </c>
      <c r="M202" t="n">
        <v>0</v>
      </c>
      <c r="N202">
        <f>SUM(J202:M202)</f>
        <v/>
      </c>
      <c r="O202" s="4">
        <f>SUM(J202:L202)/SUM(J202:M202)</f>
        <v/>
      </c>
      <c r="P202" s="5">
        <f>MAX(J202:L202)/SUM(J202:L202)</f>
        <v/>
      </c>
    </row>
    <row r="203">
      <c r="A203" t="inlineStr">
        <is>
          <t>Primer año</t>
        </is>
      </c>
      <c r="B203" t="inlineStr">
        <is>
          <t>Tercer periodo</t>
        </is>
      </c>
      <c r="C203" t="n">
        <v>49</v>
      </c>
      <c r="D203" t="n">
        <v>201</v>
      </c>
      <c r="E203" s="3" t="n">
        <v>45831</v>
      </c>
      <c r="F203" t="inlineStr">
        <is>
          <t>Iniciativa</t>
        </is>
      </c>
      <c r="G203" t="inlineStr">
        <is>
          <t>Dictamen con minuta de decreto por el cual se revoca el mandato del presidente municipal, las regidoras y los regidores y de la síndica municipal, y se declara la desaparición del ayuntamiento de Cuautempan</t>
        </is>
      </c>
      <c r="H203" t="n">
        <v>18</v>
      </c>
      <c r="I203" t="inlineStr">
        <is>
          <t>Administración Pública</t>
        </is>
      </c>
      <c r="J203" t="n">
        <v>31</v>
      </c>
      <c r="K203" t="n">
        <v>2</v>
      </c>
      <c r="L203" t="n">
        <v>4</v>
      </c>
      <c r="M203" t="n">
        <v>0</v>
      </c>
      <c r="N203">
        <f>SUM(J203:M203)</f>
        <v/>
      </c>
      <c r="O203" s="4">
        <f>SUM(J203:L203)/SUM(J203:M203)</f>
        <v/>
      </c>
      <c r="P203" s="5">
        <f>MAX(J203:L203)/SUM(J203:L203)</f>
        <v/>
      </c>
    </row>
    <row r="204">
      <c r="A204" t="inlineStr">
        <is>
          <t>Primer año</t>
        </is>
      </c>
      <c r="B204" t="inlineStr">
        <is>
          <t>Tercer periodo</t>
        </is>
      </c>
      <c r="C204" t="n">
        <v>50</v>
      </c>
      <c r="D204" t="n">
        <v>202</v>
      </c>
      <c r="E204" s="3" t="n">
        <v>45834</v>
      </c>
      <c r="F204" t="inlineStr">
        <is>
          <t>Punto de Acuerdo</t>
        </is>
      </c>
      <c r="G204" t="inlineStr">
        <is>
          <t>Acuerdo por el cual la designación de consejeros honoríficos del Consejo Ciudadano del Sistema Estatal y de la Comisión de Búsqueda de Personas del Estado de Puebla</t>
        </is>
      </c>
      <c r="H204" t="n">
        <v>19</v>
      </c>
      <c r="I204" t="inlineStr">
        <is>
          <t>Internos del Congreso</t>
        </is>
      </c>
      <c r="J204" t="n">
        <v>37</v>
      </c>
      <c r="K204" t="n">
        <v>0</v>
      </c>
      <c r="L204" t="n">
        <v>0</v>
      </c>
      <c r="M204" t="n">
        <v>0</v>
      </c>
      <c r="N204">
        <f>SUM(J204:M204)</f>
        <v/>
      </c>
      <c r="O204" s="4">
        <f>SUM(J204:L204)/SUM(J204:M204)</f>
        <v/>
      </c>
      <c r="P204" s="5">
        <f>MAX(J204:L204)/SUM(J204:L204)</f>
        <v/>
      </c>
    </row>
    <row r="205">
      <c r="A205" t="inlineStr">
        <is>
          <t>Primer año</t>
        </is>
      </c>
      <c r="B205" t="inlineStr">
        <is>
          <t>Tercer periodo</t>
        </is>
      </c>
      <c r="C205" t="n">
        <v>51</v>
      </c>
      <c r="D205" t="n">
        <v>203</v>
      </c>
      <c r="E205" s="3" t="n">
        <v>45834</v>
      </c>
      <c r="F205" t="inlineStr">
        <is>
          <t>Iniciativa</t>
        </is>
      </c>
      <c r="G205" t="inlineStr">
        <is>
          <t>Dictamen con minuta de decreto por el cual se reforma la fracción XIII del artículo 9 de la Ley Orgánica del Centro de Conciliación Laboral del Estado de Puebla</t>
        </is>
      </c>
      <c r="H205" t="n">
        <v>16</v>
      </c>
      <c r="I205" t="inlineStr">
        <is>
          <t>Trabajo y Previsión Social</t>
        </is>
      </c>
      <c r="J205" t="n">
        <v>37</v>
      </c>
      <c r="K205" t="n">
        <v>0</v>
      </c>
      <c r="L205" t="n">
        <v>0</v>
      </c>
      <c r="M205" t="n">
        <v>0</v>
      </c>
      <c r="N205">
        <f>SUM(J205:M205)</f>
        <v/>
      </c>
      <c r="O205" s="4">
        <f>SUM(J205:L205)/SUM(J205:M205)</f>
        <v/>
      </c>
      <c r="P205" s="5">
        <f>MAX(J205:L205)/SUM(J205:L205)</f>
        <v/>
      </c>
    </row>
    <row r="206">
      <c r="A206" t="inlineStr">
        <is>
          <t>Primer año</t>
        </is>
      </c>
      <c r="B206" t="inlineStr">
        <is>
          <t>Tercer periodo</t>
        </is>
      </c>
      <c r="C206" t="n">
        <v>52</v>
      </c>
      <c r="D206" t="n">
        <v>204</v>
      </c>
      <c r="E206" s="3" t="n">
        <v>45834</v>
      </c>
      <c r="F206" t="inlineStr">
        <is>
          <t>Iniciativa</t>
        </is>
      </c>
      <c r="G206" t="inlineStr">
        <is>
          <t>Dictamen con minuta de decreto por el cual se reforma el tercer párrafo del artículo 162 de la Ley para la Protección del Ambiente Natural y el Desarrollo Sustentable del Estado Libre y Soberano de Puebla</t>
        </is>
      </c>
      <c r="H206" t="n">
        <v>5</v>
      </c>
      <c r="I206" t="inlineStr">
        <is>
          <t>Medio Ambiente</t>
        </is>
      </c>
      <c r="J206" t="n">
        <v>37</v>
      </c>
      <c r="K206" t="n">
        <v>0</v>
      </c>
      <c r="L206" t="n">
        <v>0</v>
      </c>
      <c r="M206" t="n">
        <v>0</v>
      </c>
      <c r="N206">
        <f>SUM(J206:M206)</f>
        <v/>
      </c>
      <c r="O206" s="4">
        <f>SUM(J206:L206)/SUM(J206:M206)</f>
        <v/>
      </c>
      <c r="P206" s="5">
        <f>MAX(J206:L206)/SUM(J206:L206)</f>
        <v/>
      </c>
    </row>
    <row r="207">
      <c r="A207" t="inlineStr">
        <is>
          <t>Primer año</t>
        </is>
      </c>
      <c r="B207" t="inlineStr">
        <is>
          <t>Tercer periodo</t>
        </is>
      </c>
      <c r="C207" t="n">
        <v>53</v>
      </c>
      <c r="D207" t="n">
        <v>205</v>
      </c>
      <c r="E207" s="3" t="n">
        <v>45834</v>
      </c>
      <c r="F207" t="inlineStr">
        <is>
          <t>Iniciativa</t>
        </is>
      </c>
      <c r="G207" t="inlineStr">
        <is>
          <t>Dictamen con minuta de decreto por el cual se reforman las fracciones XX y XXI del apartado A del artículo 4 y se adiciona la fracción XXII al apartado A del 4; todos de la Ley Estatal de Salud</t>
        </is>
      </c>
      <c r="H207" t="n">
        <v>6</v>
      </c>
      <c r="I207" t="inlineStr">
        <is>
          <t>Salud</t>
        </is>
      </c>
      <c r="J207" t="n">
        <v>37</v>
      </c>
      <c r="K207" t="n">
        <v>0</v>
      </c>
      <c r="L207" t="n">
        <v>0</v>
      </c>
      <c r="M207" t="n">
        <v>0</v>
      </c>
      <c r="N207">
        <f>SUM(J207:M207)</f>
        <v/>
      </c>
      <c r="O207" s="4">
        <f>SUM(J207:L207)/SUM(J207:M207)</f>
        <v/>
      </c>
      <c r="P207" s="5">
        <f>MAX(J207:L207)/SUM(J207:L207)</f>
        <v/>
      </c>
    </row>
    <row r="208">
      <c r="A208" t="inlineStr">
        <is>
          <t>Primer año</t>
        </is>
      </c>
      <c r="B208" t="inlineStr">
        <is>
          <t>Tercer periodo</t>
        </is>
      </c>
      <c r="C208" t="n">
        <v>54</v>
      </c>
      <c r="D208" t="n">
        <v>206</v>
      </c>
      <c r="E208" s="3" t="n">
        <v>45834</v>
      </c>
      <c r="F208" t="inlineStr">
        <is>
          <t>Iniciativa</t>
        </is>
      </c>
      <c r="G208" t="inlineStr">
        <is>
          <t>Dictamen con minuta de decreto por el cual se reforman las fracciones I, II y III y se adicionan las fracciones IV y V al artículo 176 de la Ley Estatal de Salud</t>
        </is>
      </c>
      <c r="H208" t="n">
        <v>6</v>
      </c>
      <c r="I208" t="inlineStr">
        <is>
          <t>Salud</t>
        </is>
      </c>
      <c r="J208" t="n">
        <v>37</v>
      </c>
      <c r="K208" t="n">
        <v>0</v>
      </c>
      <c r="L208" t="n">
        <v>0</v>
      </c>
      <c r="M208" t="n">
        <v>0</v>
      </c>
      <c r="N208">
        <f>SUM(J208:M208)</f>
        <v/>
      </c>
      <c r="O208" s="4">
        <f>SUM(J208:L208)/SUM(J208:M208)</f>
        <v/>
      </c>
      <c r="P208" s="5">
        <f>MAX(J208:L208)/SUM(J208:L208)</f>
        <v/>
      </c>
    </row>
    <row r="209">
      <c r="A209" t="inlineStr">
        <is>
          <t>Primer año</t>
        </is>
      </c>
      <c r="B209" t="inlineStr">
        <is>
          <t>Tercer periodo</t>
        </is>
      </c>
      <c r="C209" t="n">
        <v>55</v>
      </c>
      <c r="D209" t="n">
        <v>207</v>
      </c>
      <c r="E209" s="3" t="n">
        <v>45834</v>
      </c>
      <c r="F209" t="inlineStr">
        <is>
          <t>Iniciativa</t>
        </is>
      </c>
      <c r="G209" t="inlineStr">
        <is>
          <t>Dictamen con minuta de decreto por el cual se reforma el artículo 259 quinquies de la Ley Estatal de Salud</t>
        </is>
      </c>
      <c r="H209" t="n">
        <v>6</v>
      </c>
      <c r="I209" t="inlineStr">
        <is>
          <t>Salud</t>
        </is>
      </c>
      <c r="J209" t="n">
        <v>37</v>
      </c>
      <c r="K209" t="n">
        <v>0</v>
      </c>
      <c r="L209" t="n">
        <v>0</v>
      </c>
      <c r="M209" t="n">
        <v>0</v>
      </c>
      <c r="N209">
        <f>SUM(J209:M209)</f>
        <v/>
      </c>
      <c r="O209" s="4">
        <f>SUM(J209:L209)/SUM(J209:M209)</f>
        <v/>
      </c>
      <c r="P209" s="5">
        <f>MAX(J209:L209)/SUM(J209:L209)</f>
        <v/>
      </c>
    </row>
    <row r="210">
      <c r="A210" t="inlineStr">
        <is>
          <t>Primer año</t>
        </is>
      </c>
      <c r="B210" t="inlineStr">
        <is>
          <t>Tercer periodo</t>
        </is>
      </c>
      <c r="C210" t="n">
        <v>56</v>
      </c>
      <c r="D210" t="n">
        <v>208</v>
      </c>
      <c r="E210" s="3" t="n">
        <v>45834</v>
      </c>
      <c r="F210" t="inlineStr">
        <is>
          <t>Punto de Acuerdo</t>
        </is>
      </c>
      <c r="G210" t="inlineStr">
        <is>
          <t>Acuerdo por el que se exhorta a los doscientos doce ayuntamientos y cinco concejos municipales del estado, para que implementen acciones con perspectiva de diversidad sexual y de género en favor de las personas migrantes</t>
        </is>
      </c>
      <c r="H210" t="n">
        <v>2</v>
      </c>
      <c r="I210" t="inlineStr">
        <is>
          <t>Pobreza y Política Social</t>
        </is>
      </c>
      <c r="J210" t="n">
        <v>37</v>
      </c>
      <c r="K210" t="n">
        <v>0</v>
      </c>
      <c r="L210" t="n">
        <v>0</v>
      </c>
      <c r="M210" t="n">
        <v>0</v>
      </c>
      <c r="N210">
        <f>SUM(J210:M210)</f>
        <v/>
      </c>
      <c r="O210" s="4">
        <f>SUM(J210:L210)/SUM(J210:M210)</f>
        <v/>
      </c>
      <c r="P210" s="5">
        <f>MAX(J210:L210)/SUM(J210:L210)</f>
        <v/>
      </c>
    </row>
    <row r="211">
      <c r="A211" t="inlineStr">
        <is>
          <t>Primer año</t>
        </is>
      </c>
      <c r="B211" t="inlineStr">
        <is>
          <t>Tercer periodo</t>
        </is>
      </c>
      <c r="C211" t="n">
        <v>57</v>
      </c>
      <c r="D211" t="n">
        <v>209</v>
      </c>
      <c r="E211" s="3" t="n">
        <v>45834</v>
      </c>
      <c r="F211" t="inlineStr">
        <is>
          <t>Punto de Acuerdo</t>
        </is>
      </c>
      <c r="G211" t="inlineStr">
        <is>
          <t>Acuerdo por el que se exhorta a la Coordinación General de Protección Civil y Gestión del Riesgo de Desastres de la administración pública estatal para que, en coordinación con las unidades municipales de protección civil, implementen campañas de difusión de mapas de riesgo</t>
        </is>
      </c>
      <c r="H211" t="n">
        <v>3</v>
      </c>
      <c r="I211" t="inlineStr">
        <is>
          <t>Seguridad Pública, Protección Civil y Narcotráfico</t>
        </is>
      </c>
      <c r="J211" t="n">
        <v>37</v>
      </c>
      <c r="K211" t="n">
        <v>0</v>
      </c>
      <c r="L211" t="n">
        <v>0</v>
      </c>
      <c r="M211" t="n">
        <v>0</v>
      </c>
      <c r="N211">
        <f>SUM(J211:M211)</f>
        <v/>
      </c>
      <c r="O211" s="4">
        <f>SUM(J211:L211)/SUM(J211:M211)</f>
        <v/>
      </c>
      <c r="P211" s="5">
        <f>MAX(J211:L211)/SUM(J211:L211)</f>
        <v/>
      </c>
    </row>
    <row r="212">
      <c r="A212" t="inlineStr">
        <is>
          <t>Primer año</t>
        </is>
      </c>
      <c r="B212" t="inlineStr">
        <is>
          <t>Tercer periodo</t>
        </is>
      </c>
      <c r="C212" t="n">
        <v>58</v>
      </c>
      <c r="D212" t="n">
        <v>210</v>
      </c>
      <c r="E212" s="3" t="n">
        <v>45834</v>
      </c>
      <c r="F212" t="inlineStr">
        <is>
          <t>Punto de Acuerdo</t>
        </is>
      </c>
      <c r="G212" t="inlineStr">
        <is>
          <t>Acuerdo por el que se exhorta a los doscientos doce ayuntamientos y cinco concejos municipales del estado de Puebla para que elaboren, publiquen o, en su caso, actualicen su programa municipal de desarrollo urbano, así como su programa de ordenamiento ecológico local</t>
        </is>
      </c>
      <c r="H212" t="n">
        <v>18</v>
      </c>
      <c r="I212" t="inlineStr">
        <is>
          <t>Administración Pública</t>
        </is>
      </c>
      <c r="J212" t="n">
        <v>37</v>
      </c>
      <c r="K212" t="n">
        <v>0</v>
      </c>
      <c r="L212" t="n">
        <v>0</v>
      </c>
      <c r="M212" t="n">
        <v>0</v>
      </c>
      <c r="N212">
        <f>SUM(J212:M212)</f>
        <v/>
      </c>
      <c r="O212" s="4">
        <f>SUM(J212:L212)/SUM(J212:M212)</f>
        <v/>
      </c>
      <c r="P212" s="5">
        <f>MAX(J212:L212)/SUM(J212:L212)</f>
        <v/>
      </c>
    </row>
    <row r="213">
      <c r="A213" t="inlineStr">
        <is>
          <t>Primer año</t>
        </is>
      </c>
      <c r="B213" t="inlineStr">
        <is>
          <t>Tercer periodo</t>
        </is>
      </c>
      <c r="C213" t="n">
        <v>59</v>
      </c>
      <c r="D213" t="n">
        <v>211</v>
      </c>
      <c r="E213" s="3" t="n">
        <v>45834</v>
      </c>
      <c r="F213" t="inlineStr">
        <is>
          <t>Punto de Acuerdo</t>
        </is>
      </c>
      <c r="G213" t="inlineStr">
        <is>
          <t>Acuerdo por el que se exhorta a la Secretaría de Desarrollo Económico y Trabajo para que, en coordinación con la Secretaría de las Mujeres y los doscientos doce ayuntamientos y cinco concejos municipales del estado, implementen ferias de empleo permanentes</t>
        </is>
      </c>
      <c r="H213" t="n">
        <v>16</v>
      </c>
      <c r="I213" t="inlineStr">
        <is>
          <t>Trabajo y Previsión Social</t>
        </is>
      </c>
      <c r="J213" t="n">
        <v>37</v>
      </c>
      <c r="K213" t="n">
        <v>0</v>
      </c>
      <c r="L213" t="n">
        <v>0</v>
      </c>
      <c r="M213" t="n">
        <v>0</v>
      </c>
      <c r="N213">
        <f>SUM(J213:M213)</f>
        <v/>
      </c>
      <c r="O213" s="4">
        <f>SUM(J213:L213)/SUM(J213:M213)</f>
        <v/>
      </c>
      <c r="P213" s="5">
        <f>MAX(J213:L213)/SUM(J213:L213)</f>
        <v/>
      </c>
    </row>
    <row r="214">
      <c r="A214" t="inlineStr">
        <is>
          <t>Primer año</t>
        </is>
      </c>
      <c r="B214" t="inlineStr">
        <is>
          <t>Tercer periodo</t>
        </is>
      </c>
      <c r="C214" t="n">
        <v>60</v>
      </c>
      <c r="D214" t="n">
        <v>212</v>
      </c>
      <c r="E214" s="3" t="n">
        <v>45834</v>
      </c>
      <c r="F214" t="inlineStr">
        <is>
          <t>Punto de Acuerdo</t>
        </is>
      </c>
      <c r="G214" t="inlineStr">
        <is>
          <t>Acuerdo por el que se exhorta a la Secretaría de Medio Ambiente, Desarrollo Sustentable y Ordenamiento Territorial del estado para que, de forma coordinada con la Secretaría de Medio Ambiente y Recursos Naturales federal, diseñe y ejecute acciones con el fin de impulsar y fortalecer el desarrollo, vigilancia y custodia del área natural protegida “Reserva de la Biosfera Tehuacán-Cuicatlán”</t>
        </is>
      </c>
      <c r="H214" t="n">
        <v>5</v>
      </c>
      <c r="I214" t="inlineStr">
        <is>
          <t>Medio Ambiente</t>
        </is>
      </c>
      <c r="J214" t="n">
        <v>37</v>
      </c>
      <c r="K214" t="n">
        <v>0</v>
      </c>
      <c r="L214" t="n">
        <v>0</v>
      </c>
      <c r="M214" t="n">
        <v>0</v>
      </c>
      <c r="N214">
        <f>SUM(J214:M214)</f>
        <v/>
      </c>
      <c r="O214" s="4">
        <f>SUM(J214:L214)/SUM(J214:M214)</f>
        <v/>
      </c>
      <c r="P214" s="5">
        <f>MAX(J214:L214)/SUM(J214:L214)</f>
        <v/>
      </c>
    </row>
    <row r="215">
      <c r="A215" t="inlineStr">
        <is>
          <t>Primer año</t>
        </is>
      </c>
      <c r="B215" t="inlineStr">
        <is>
          <t>Tercer periodo</t>
        </is>
      </c>
      <c r="C215" t="n">
        <v>61</v>
      </c>
      <c r="D215" t="n">
        <v>213</v>
      </c>
      <c r="E215" s="3" t="n">
        <v>45834</v>
      </c>
      <c r="F215" t="inlineStr">
        <is>
          <t>Punto de Acuerdo</t>
        </is>
      </c>
      <c r="G215" t="inlineStr">
        <is>
          <t>Acuerdo por el que se exhorta a la Comisión de Derechos Humanos del estado para que realice campañas de información y sensibilización dirigidas a la población en general, con el fin de promover el respeto y la protección de los derechos humanos de las personas de la diversidad sexual</t>
        </is>
      </c>
      <c r="H215" t="n">
        <v>14</v>
      </c>
      <c r="I215" t="inlineStr">
        <is>
          <t>Justicia y Estado de Derecho</t>
        </is>
      </c>
      <c r="J215" t="n">
        <v>37</v>
      </c>
      <c r="K215" t="n">
        <v>0</v>
      </c>
      <c r="L215" t="n">
        <v>0</v>
      </c>
      <c r="M215" t="n">
        <v>0</v>
      </c>
      <c r="N215">
        <f>SUM(J215:M215)</f>
        <v/>
      </c>
      <c r="O215" s="4">
        <f>SUM(J215:L215)/SUM(J215:M215)</f>
        <v/>
      </c>
      <c r="P215" s="5">
        <f>MAX(J215:L215)/SUM(J215:L215)</f>
        <v/>
      </c>
    </row>
    <row r="216">
      <c r="A216" t="inlineStr">
        <is>
          <t>Primer año</t>
        </is>
      </c>
      <c r="B216" t="inlineStr">
        <is>
          <t>Tercer periodo</t>
        </is>
      </c>
      <c r="C216" t="n">
        <v>62</v>
      </c>
      <c r="D216" t="n">
        <v>214</v>
      </c>
      <c r="E216" s="3" t="n">
        <v>45834</v>
      </c>
      <c r="F216" t="inlineStr">
        <is>
          <t>Punto de Acuerdo</t>
        </is>
      </c>
      <c r="G216" t="inlineStr">
        <is>
          <t>Acuerdo por el que se exhorta a la Comisión de Derechos Humanos del estado para que homologue el programa de atención denominado “VIH/SIDA y Derechos Humanos”, con el programa especial de sexualidad, salud y VIH de la Comisión Nacional de Derechos Humanos</t>
        </is>
      </c>
      <c r="H216" t="n">
        <v>6</v>
      </c>
      <c r="I216" t="inlineStr">
        <is>
          <t>Salud</t>
        </is>
      </c>
      <c r="J216" t="n">
        <v>37</v>
      </c>
      <c r="K216" t="n">
        <v>0</v>
      </c>
      <c r="L216" t="n">
        <v>0</v>
      </c>
      <c r="M216" t="n">
        <v>0</v>
      </c>
      <c r="N216">
        <f>SUM(J216:M216)</f>
        <v/>
      </c>
      <c r="O216" s="4">
        <f>SUM(J216:L216)/SUM(J216:M216)</f>
        <v/>
      </c>
      <c r="P216" s="5">
        <f>MAX(J216:L216)/SUM(J216:L216)</f>
        <v/>
      </c>
    </row>
    <row r="217">
      <c r="A217" t="inlineStr">
        <is>
          <t>Primer año</t>
        </is>
      </c>
      <c r="B217" t="inlineStr">
        <is>
          <t>Tercer periodo</t>
        </is>
      </c>
      <c r="C217" t="n">
        <v>63</v>
      </c>
      <c r="D217" t="n">
        <v>215</v>
      </c>
      <c r="E217" s="3" t="n">
        <v>45834</v>
      </c>
      <c r="F217" t="inlineStr">
        <is>
          <t>Punto de Acuerdo</t>
        </is>
      </c>
      <c r="G217" t="inlineStr">
        <is>
          <t>Acuerdo por el que se exhorta al Instituto Mexicano del Seguro Social, delegación Puebla, a la Secretaría de Salud del estado y al Instituto de Seguridad y Servicios Sociales de los Trabajadores al Servicio de los Poderes del Estado de Puebla, para que garanticen la atención sin discriminación de las personas de la comunidad LGBTTTI+</t>
        </is>
      </c>
      <c r="H217" t="n">
        <v>6</v>
      </c>
      <c r="I217" t="inlineStr">
        <is>
          <t>Salud</t>
        </is>
      </c>
      <c r="J217" t="n">
        <v>37</v>
      </c>
      <c r="K217" t="n">
        <v>0</v>
      </c>
      <c r="L217" t="n">
        <v>0</v>
      </c>
      <c r="M217" t="n">
        <v>0</v>
      </c>
      <c r="N217">
        <f>SUM(J217:M217)</f>
        <v/>
      </c>
      <c r="O217" s="4">
        <f>SUM(J217:L217)/SUM(J217:M217)</f>
        <v/>
      </c>
      <c r="P217" s="5">
        <f>MAX(J217:L217)/SUM(J217:L217)</f>
        <v/>
      </c>
    </row>
    <row r="218">
      <c r="A218" t="inlineStr">
        <is>
          <t>Primer año</t>
        </is>
      </c>
      <c r="B218" t="inlineStr">
        <is>
          <t>Tercer periodo</t>
        </is>
      </c>
      <c r="C218" t="n">
        <v>64</v>
      </c>
      <c r="D218" t="n">
        <v>216</v>
      </c>
      <c r="E218" s="3" t="n">
        <v>45848</v>
      </c>
      <c r="F218" t="inlineStr">
        <is>
          <t>Iniciativa</t>
        </is>
      </c>
      <c r="G218" t="inlineStr">
        <is>
          <t>Dictamen con minuta de decreto por el cual se expide la ley de transparencia y acceso a la información pública del estado; la ley de protección de datos personales en posesión de sujetos obligados del estado; y se reforman las fracciones xliv y xlv y se adiciona la fracción xlvi, todas del artículo 34 de la ley orgánica de la administración pública del estado</t>
        </is>
      </c>
      <c r="H218" t="n">
        <v>10</v>
      </c>
      <c r="I218" t="inlineStr">
        <is>
          <t>Transparencia y Rendición de Cuentas</t>
        </is>
      </c>
      <c r="J218" t="n">
        <v>35</v>
      </c>
      <c r="K218" t="n">
        <v>6</v>
      </c>
      <c r="L218" t="n">
        <v>0</v>
      </c>
      <c r="M218" t="n">
        <v>0</v>
      </c>
      <c r="N218">
        <f>SUM(J218:M218)</f>
        <v/>
      </c>
      <c r="O218" s="4">
        <f>SUM(J218:L218)/SUM(J218:M218)</f>
        <v/>
      </c>
      <c r="P218" s="5">
        <f>MAX(J218:L218)/SUM(J218:L218)</f>
        <v/>
      </c>
    </row>
    <row r="219">
      <c r="A219" t="inlineStr">
        <is>
          <t>Primer año</t>
        </is>
      </c>
      <c r="B219" t="inlineStr">
        <is>
          <t>Tercer periodo</t>
        </is>
      </c>
      <c r="C219" t="n">
        <v>65</v>
      </c>
      <c r="D219" t="n">
        <v>217</v>
      </c>
      <c r="E219" s="3" t="n">
        <v>45848</v>
      </c>
      <c r="F219" t="inlineStr">
        <is>
          <t>Iniciativa</t>
        </is>
      </c>
      <c r="G219" t="inlineStr">
        <is>
          <t>Dictamen con minuta de decreto por el cual se reforman el artículo 12 y la fracción iii del artículo 13 de la ley orgánica del poder judicial del estado</t>
        </is>
      </c>
      <c r="H219" t="n">
        <v>14</v>
      </c>
      <c r="I219" t="inlineStr">
        <is>
          <t>Justicia y Estado de Derecho</t>
        </is>
      </c>
      <c r="J219" t="n">
        <v>36</v>
      </c>
      <c r="K219" t="n">
        <v>0</v>
      </c>
      <c r="L219" t="n">
        <v>5</v>
      </c>
      <c r="M219" t="n">
        <v>0</v>
      </c>
      <c r="N219">
        <f>SUM(J219:M219)</f>
        <v/>
      </c>
      <c r="O219" s="4">
        <f>SUM(J219:L219)/SUM(J219:M219)</f>
        <v/>
      </c>
      <c r="P219" s="5">
        <f>MAX(J219:L219)/SUM(J219:L219)</f>
        <v/>
      </c>
    </row>
    <row r="220">
      <c r="A220" t="inlineStr">
        <is>
          <t>Primer año</t>
        </is>
      </c>
      <c r="B220" t="inlineStr">
        <is>
          <t>Tercer periodo</t>
        </is>
      </c>
      <c r="C220" t="n">
        <v>66</v>
      </c>
      <c r="D220" t="n">
        <v>218</v>
      </c>
      <c r="E220" s="3" t="n">
        <v>45848</v>
      </c>
      <c r="F220" t="inlineStr">
        <is>
          <t>Iniciativa</t>
        </is>
      </c>
      <c r="G220" t="inlineStr">
        <is>
          <t>Dictamen con minuta de decreto por el cual se reforma el artículo 480 del código penal del estado libre y soberano de</t>
        </is>
      </c>
      <c r="H220" t="n">
        <v>14</v>
      </c>
      <c r="I220" t="inlineStr">
        <is>
          <t>Justicia y Estado de Derecho</t>
        </is>
      </c>
      <c r="J220" t="n">
        <v>34</v>
      </c>
      <c r="K220" t="n">
        <v>6</v>
      </c>
      <c r="L220" t="n">
        <v>1</v>
      </c>
      <c r="M220" t="n">
        <v>0</v>
      </c>
      <c r="N220">
        <f>SUM(J220:M220)</f>
        <v/>
      </c>
      <c r="O220" s="4">
        <f>SUM(J220:L220)/SUM(J220:M220)</f>
        <v/>
      </c>
      <c r="P220" s="5">
        <f>MAX(J220:L220)/SUM(J220:L220)</f>
        <v/>
      </c>
    </row>
    <row r="221">
      <c r="A221" t="inlineStr">
        <is>
          <t>Primer año</t>
        </is>
      </c>
      <c r="B221" t="inlineStr">
        <is>
          <t>Tercer periodo</t>
        </is>
      </c>
      <c r="C221" t="n">
        <v>67</v>
      </c>
      <c r="D221" t="n">
        <v>219</v>
      </c>
      <c r="E221" s="3" t="n">
        <v>45853</v>
      </c>
      <c r="F221" t="inlineStr">
        <is>
          <t>Punto de Acuerdo</t>
        </is>
      </c>
      <c r="G221" t="inlineStr">
        <is>
          <t>Acuerdo para la elección e integración de los miembros de la comisión permanente</t>
        </is>
      </c>
      <c r="H221" t="n">
        <v>19</v>
      </c>
      <c r="I221" t="inlineStr">
        <is>
          <t>Internos del Congreso</t>
        </is>
      </c>
      <c r="J221" t="n">
        <v>36</v>
      </c>
      <c r="K221" t="n">
        <v>0</v>
      </c>
      <c r="L221" t="n">
        <v>0</v>
      </c>
      <c r="M221" t="n">
        <v>5</v>
      </c>
      <c r="N221">
        <f>SUM(J221:M221)</f>
        <v/>
      </c>
      <c r="O221" s="4">
        <f>SUM(J221:L221)/SUM(J221:M221)</f>
        <v/>
      </c>
      <c r="P221" s="5">
        <f>MAX(J221:L221)/SUM(J221:L221)</f>
        <v/>
      </c>
    </row>
    <row r="222">
      <c r="A222" t="inlineStr">
        <is>
          <t>Primer año</t>
        </is>
      </c>
      <c r="B222" t="inlineStr">
        <is>
          <t>Tercer periodo</t>
        </is>
      </c>
      <c r="C222" t="n">
        <v>68</v>
      </c>
      <c r="D222" t="n">
        <v>220</v>
      </c>
      <c r="E222" s="3" t="n">
        <v>45853</v>
      </c>
      <c r="F222" t="inlineStr">
        <is>
          <t>Iniciativa</t>
        </is>
      </c>
      <c r="G222" t="inlineStr">
        <is>
          <t>Dictamen con minuta de decreto por el cual se reforman y adicionan diversas disposiciones de la Ley de los Derechos de las Niñas, Niños y Adolescentes del estado</t>
        </is>
      </c>
      <c r="H222" t="n">
        <v>2</v>
      </c>
      <c r="I222" t="inlineStr">
        <is>
          <t>Pobreza y Política Social</t>
        </is>
      </c>
      <c r="J222" t="n">
        <v>38</v>
      </c>
      <c r="K222" t="n">
        <v>0</v>
      </c>
      <c r="L222" t="n">
        <v>0</v>
      </c>
      <c r="M222" t="n">
        <v>3</v>
      </c>
      <c r="N222">
        <f>SUM(J222:M222)</f>
        <v/>
      </c>
      <c r="O222" s="4">
        <f>SUM(J222:L222)/SUM(J222:M222)</f>
        <v/>
      </c>
      <c r="P222" s="5">
        <f>MAX(J222:L222)/SUM(J222:L222)</f>
        <v/>
      </c>
    </row>
    <row r="223">
      <c r="A223" t="inlineStr">
        <is>
          <t>Primer año</t>
        </is>
      </c>
      <c r="B223" t="inlineStr">
        <is>
          <t>Tercer periodo</t>
        </is>
      </c>
      <c r="C223" t="n">
        <v>69</v>
      </c>
      <c r="D223" t="n">
        <v>221</v>
      </c>
      <c r="E223" s="3" t="n">
        <v>45853</v>
      </c>
      <c r="F223" t="inlineStr">
        <is>
          <t>Iniciativa</t>
        </is>
      </c>
      <c r="G223" t="inlineStr">
        <is>
          <t>Dictamen con minuta de decreto por el cual se reforman y adicionan diversas disposiciones del Código Fiscal del estado</t>
        </is>
      </c>
      <c r="H223" t="n">
        <v>7</v>
      </c>
      <c r="I223" t="inlineStr">
        <is>
          <t>Impuestos, Finanzas Públicas, Patrimonio estatal y municipal</t>
        </is>
      </c>
      <c r="J223" t="n">
        <v>38</v>
      </c>
      <c r="K223" t="n">
        <v>0</v>
      </c>
      <c r="L223" t="n">
        <v>0</v>
      </c>
      <c r="M223" t="n">
        <v>3</v>
      </c>
      <c r="N223">
        <f>SUM(J223:M223)</f>
        <v/>
      </c>
      <c r="O223" s="4">
        <f>SUM(J223:L223)/SUM(J223:M223)</f>
        <v/>
      </c>
      <c r="P223" s="5">
        <f>MAX(J223:L223)/SUM(J223:L223)</f>
        <v/>
      </c>
    </row>
    <row r="224">
      <c r="A224" t="inlineStr">
        <is>
          <t>Primer año</t>
        </is>
      </c>
      <c r="B224" t="inlineStr">
        <is>
          <t>Tercer periodo</t>
        </is>
      </c>
      <c r="C224" t="n">
        <v>70</v>
      </c>
      <c r="D224" t="n">
        <v>222</v>
      </c>
      <c r="E224" s="3" t="n">
        <v>45853</v>
      </c>
      <c r="F224" t="inlineStr">
        <is>
          <t>Iniciativa</t>
        </is>
      </c>
      <c r="G224" t="inlineStr">
        <is>
          <t>Dictamen con minuta de decreto por el cual se reforma el artículo 1 de la Ley de Ingresos del municipio de Santa Catarina Tlaltempan para el ejercicio fiscal 2025</t>
        </is>
      </c>
      <c r="H224" t="n">
        <v>7</v>
      </c>
      <c r="I224" t="inlineStr">
        <is>
          <t>Impuestos, Finanzas Públicas, Patrimonio estatal y municipal</t>
        </is>
      </c>
      <c r="J224" t="n">
        <v>38</v>
      </c>
      <c r="K224" t="n">
        <v>0</v>
      </c>
      <c r="L224" t="n">
        <v>0</v>
      </c>
      <c r="M224" t="n">
        <v>3</v>
      </c>
      <c r="N224">
        <f>SUM(J224:M224)</f>
        <v/>
      </c>
      <c r="O224" s="4">
        <f>SUM(J224:L224)/SUM(J224:M224)</f>
        <v/>
      </c>
      <c r="P224" s="5">
        <f>MAX(J224:L224)/SUM(J224:L224)</f>
        <v/>
      </c>
    </row>
    <row r="225">
      <c r="A225" t="inlineStr">
        <is>
          <t>Primer año</t>
        </is>
      </c>
      <c r="B225" t="inlineStr">
        <is>
          <t>Tercer periodo</t>
        </is>
      </c>
      <c r="C225" t="n">
        <v>71</v>
      </c>
      <c r="D225" t="n">
        <v>223</v>
      </c>
      <c r="E225" s="3" t="n">
        <v>45853</v>
      </c>
      <c r="F225" t="inlineStr">
        <is>
          <t>Iniciativa</t>
        </is>
      </c>
      <c r="G225" t="inlineStr">
        <is>
          <t>Dictamen con minuta de decreto por el cual se autoriza la enajenación bajo la figura de donación a título gratuito de una superficie para la construcción de un centro de gerontología</t>
        </is>
      </c>
      <c r="H225" t="n">
        <v>7</v>
      </c>
      <c r="I225" t="inlineStr">
        <is>
          <t>Impuestos, Finanzas Públicas, Patrimonio estatal y municipal</t>
        </is>
      </c>
      <c r="J225" t="n">
        <v>38</v>
      </c>
      <c r="K225" t="n">
        <v>0</v>
      </c>
      <c r="L225" t="n">
        <v>0</v>
      </c>
      <c r="M225" t="n">
        <v>3</v>
      </c>
      <c r="N225">
        <f>SUM(J225:M225)</f>
        <v/>
      </c>
      <c r="O225" s="4">
        <f>SUM(J225:L225)/SUM(J225:M225)</f>
        <v/>
      </c>
      <c r="P225" s="5">
        <f>MAX(J225:L225)/SUM(J225:L225)</f>
        <v/>
      </c>
    </row>
    <row r="226">
      <c r="A226" t="inlineStr">
        <is>
          <t>Primer año</t>
        </is>
      </c>
      <c r="B226" t="inlineStr">
        <is>
          <t>Tercer periodo</t>
        </is>
      </c>
      <c r="C226" t="n">
        <v>72</v>
      </c>
      <c r="D226" t="n">
        <v>224</v>
      </c>
      <c r="E226" s="3" t="n">
        <v>45853</v>
      </c>
      <c r="F226" t="inlineStr">
        <is>
          <t>Iniciativa</t>
        </is>
      </c>
      <c r="G226" t="inlineStr">
        <is>
          <t>Dictamen con minuta de decreto por el cual se autoriza la enajenación bajo la figura de donación a título gratuito de una superficie para funcionamiento de oficinas de gobierno</t>
        </is>
      </c>
      <c r="H226" t="n">
        <v>7</v>
      </c>
      <c r="I226" t="inlineStr">
        <is>
          <t>Impuestos, Finanzas Públicas, Patrimonio estatal y municipal</t>
        </is>
      </c>
      <c r="J226" t="n">
        <v>38</v>
      </c>
      <c r="K226" t="n">
        <v>0</v>
      </c>
      <c r="L226" t="n">
        <v>0</v>
      </c>
      <c r="M226" t="n">
        <v>3</v>
      </c>
      <c r="N226">
        <f>SUM(J226:M226)</f>
        <v/>
      </c>
      <c r="O226" s="4">
        <f>SUM(J226:L226)/SUM(J226:M226)</f>
        <v/>
      </c>
      <c r="P226" s="5">
        <f>MAX(J226:L226)/SUM(J226:L226)</f>
        <v/>
      </c>
    </row>
    <row r="227">
      <c r="A227" t="inlineStr">
        <is>
          <t>Primer año</t>
        </is>
      </c>
      <c r="B227" t="inlineStr">
        <is>
          <t>Tercer periodo</t>
        </is>
      </c>
      <c r="C227" t="n">
        <v>73</v>
      </c>
      <c r="D227" t="n">
        <v>225</v>
      </c>
      <c r="E227" s="3" t="n">
        <v>45853</v>
      </c>
      <c r="F227" t="inlineStr">
        <is>
          <t>Iniciativa</t>
        </is>
      </c>
      <c r="G227" t="inlineStr">
        <is>
          <t>Dictamen con minuta de decreto por el cual se autoriza la enajenación bajo la figura de donación a título gratuito de tres inmuebles para el centro municipal de equinoterapia</t>
        </is>
      </c>
      <c r="H227" t="n">
        <v>7</v>
      </c>
      <c r="I227" t="inlineStr">
        <is>
          <t>Impuestos, Finanzas Públicas, Patrimonio estatal y municipal</t>
        </is>
      </c>
      <c r="J227" t="n">
        <v>38</v>
      </c>
      <c r="K227" t="n">
        <v>0</v>
      </c>
      <c r="L227" t="n">
        <v>0</v>
      </c>
      <c r="M227" t="n">
        <v>3</v>
      </c>
      <c r="N227">
        <f>SUM(J227:M227)</f>
        <v/>
      </c>
      <c r="O227" s="4">
        <f>SUM(J227:L227)/SUM(J227:M227)</f>
        <v/>
      </c>
      <c r="P227" s="5">
        <f>MAX(J227:L227)/SUM(J227:L227)</f>
        <v/>
      </c>
    </row>
    <row r="228">
      <c r="A228" t="inlineStr">
        <is>
          <t>Primer año</t>
        </is>
      </c>
      <c r="B228" t="inlineStr">
        <is>
          <t>Tercer periodo</t>
        </is>
      </c>
      <c r="C228" t="n">
        <v>74</v>
      </c>
      <c r="D228" t="n">
        <v>226</v>
      </c>
      <c r="E228" s="3" t="n">
        <v>45853</v>
      </c>
      <c r="F228" t="inlineStr">
        <is>
          <t>Iniciativa</t>
        </is>
      </c>
      <c r="G228" t="inlineStr">
        <is>
          <t>Dictamen con minuta de decreto por el cual se reforman y adicionan diversas disposiciones de la Ley de Desarrollo Forestal Sustentable del estado</t>
        </is>
      </c>
      <c r="H228" t="n">
        <v>5</v>
      </c>
      <c r="I228" t="inlineStr">
        <is>
          <t>Medio Ambiente</t>
        </is>
      </c>
      <c r="J228" t="n">
        <v>39</v>
      </c>
      <c r="K228" t="n">
        <v>0</v>
      </c>
      <c r="L228" t="n">
        <v>0</v>
      </c>
      <c r="M228" t="n">
        <v>2</v>
      </c>
      <c r="N228">
        <f>SUM(J228:M228)</f>
        <v/>
      </c>
      <c r="O228" s="4">
        <f>SUM(J228:L228)/SUM(J228:M228)</f>
        <v/>
      </c>
      <c r="P228" s="5">
        <f>MAX(J228:L228)/SUM(J228:L228)</f>
        <v/>
      </c>
    </row>
    <row r="229">
      <c r="A229" t="inlineStr">
        <is>
          <t>Primer año</t>
        </is>
      </c>
      <c r="B229" t="inlineStr">
        <is>
          <t>Tercer periodo</t>
        </is>
      </c>
      <c r="C229" t="n">
        <v>75</v>
      </c>
      <c r="D229" t="n">
        <v>227</v>
      </c>
      <c r="E229" s="3" t="n">
        <v>45853</v>
      </c>
      <c r="F229" t="inlineStr">
        <is>
          <t>Punto de Acuerdo</t>
        </is>
      </c>
      <c r="G229" t="inlineStr">
        <is>
          <t>Acuerdo por el que se exhorta a la Secretaría de Movilidad y Transporte del estado</t>
        </is>
      </c>
      <c r="H229" t="n">
        <v>11</v>
      </c>
      <c r="I229" t="inlineStr">
        <is>
          <t>Infraestructura, Movilidad y Transporte</t>
        </is>
      </c>
      <c r="J229" t="n">
        <v>39</v>
      </c>
      <c r="K229" t="n">
        <v>0</v>
      </c>
      <c r="L229" t="n">
        <v>0</v>
      </c>
      <c r="M229" t="n">
        <v>2</v>
      </c>
      <c r="N229">
        <f>SUM(J229:M229)</f>
        <v/>
      </c>
      <c r="O229" s="4">
        <f>SUM(J229:L229)/SUM(J229:M229)</f>
        <v/>
      </c>
      <c r="P229" s="5">
        <f>MAX(J229:L229)/SUM(J229:L229)</f>
        <v/>
      </c>
    </row>
    <row r="230">
      <c r="A230" t="inlineStr">
        <is>
          <t>Primer año</t>
        </is>
      </c>
      <c r="B230" t="inlineStr">
        <is>
          <t>Tercer periodo</t>
        </is>
      </c>
      <c r="C230" t="n">
        <v>76</v>
      </c>
      <c r="D230" t="n">
        <v>228</v>
      </c>
      <c r="E230" s="3" t="n">
        <v>45853</v>
      </c>
      <c r="F230" t="inlineStr">
        <is>
          <t>Punto de Acuerdo</t>
        </is>
      </c>
      <c r="G230" t="inlineStr">
        <is>
          <t>Acuerdo por el que se exhorta a los ayuntamientos y concejos municipales a instalar una comisión interinstitucional contra el trabajo infantil</t>
        </is>
      </c>
      <c r="H230" t="n">
        <v>16</v>
      </c>
      <c r="I230" t="inlineStr">
        <is>
          <t>Trabajo y Previsión Social</t>
        </is>
      </c>
      <c r="J230" t="n">
        <v>39</v>
      </c>
      <c r="K230" t="n">
        <v>0</v>
      </c>
      <c r="L230" t="n">
        <v>0</v>
      </c>
      <c r="M230" t="n">
        <v>2</v>
      </c>
      <c r="N230">
        <f>SUM(J230:M230)</f>
        <v/>
      </c>
      <c r="O230" s="4">
        <f>SUM(J230:L230)/SUM(J230:M230)</f>
        <v/>
      </c>
      <c r="P230" s="5">
        <f>MAX(J230:L230)/SUM(J230:L230)</f>
        <v/>
      </c>
    </row>
    <row r="231">
      <c r="A231" t="inlineStr">
        <is>
          <t>Primer año</t>
        </is>
      </c>
      <c r="B231" t="inlineStr">
        <is>
          <t>Tercer periodo</t>
        </is>
      </c>
      <c r="C231" t="n">
        <v>77</v>
      </c>
      <c r="D231" t="n">
        <v>229</v>
      </c>
      <c r="E231" s="3" t="n">
        <v>45853</v>
      </c>
      <c r="F231" t="inlineStr">
        <is>
          <t>Punto de Acuerdo</t>
        </is>
      </c>
      <c r="G231" t="inlineStr">
        <is>
          <t>Acuerdo por el que se exhorta a los ayuntamientos de la zona metropolitana a garantizar el derecho a los cuidados</t>
        </is>
      </c>
      <c r="H231" t="n">
        <v>2</v>
      </c>
      <c r="I231" t="inlineStr">
        <is>
          <t>Pobreza y Política Social</t>
        </is>
      </c>
      <c r="J231" t="n">
        <v>39</v>
      </c>
      <c r="K231" t="n">
        <v>0</v>
      </c>
      <c r="L231" t="n">
        <v>0</v>
      </c>
      <c r="M231" t="n">
        <v>2</v>
      </c>
      <c r="N231">
        <f>SUM(J231:M231)</f>
        <v/>
      </c>
      <c r="O231" s="4">
        <f>SUM(J231:L231)/SUM(J231:M231)</f>
        <v/>
      </c>
      <c r="P231" s="5">
        <f>MAX(J231:L231)/SUM(J231:L231)</f>
        <v/>
      </c>
    </row>
    <row r="232">
      <c r="A232" t="inlineStr">
        <is>
          <t>Primer año</t>
        </is>
      </c>
      <c r="B232" t="inlineStr">
        <is>
          <t>Tercer periodo</t>
        </is>
      </c>
      <c r="C232" t="n">
        <v>78</v>
      </c>
      <c r="D232" t="n">
        <v>230</v>
      </c>
      <c r="E232" s="3" t="n">
        <v>45854</v>
      </c>
      <c r="F232" t="inlineStr">
        <is>
          <t>Punto de Acuerdo</t>
        </is>
      </c>
      <c r="G232" t="inlineStr">
        <is>
          <t>Acuerdo por el cual llevar a cabo las sesiones en el salón de plenos de este recinto legislativo</t>
        </is>
      </c>
      <c r="H232" t="n">
        <v>19</v>
      </c>
      <c r="I232" t="inlineStr">
        <is>
          <t>Internos del Congreso</t>
        </is>
      </c>
      <c r="J232" t="n">
        <v>7</v>
      </c>
      <c r="K232" t="n">
        <v>0</v>
      </c>
      <c r="L232" t="n">
        <v>0</v>
      </c>
      <c r="M232" t="n">
        <v>0</v>
      </c>
      <c r="N232">
        <f>SUM(J232:M232)</f>
        <v/>
      </c>
      <c r="O232" s="4">
        <f>SUM(J232:L232)/SUM(J232:M232)</f>
        <v/>
      </c>
      <c r="P232" s="5">
        <f>MAX(J232:L232)/SUM(J232:L232)</f>
        <v/>
      </c>
    </row>
    <row r="233">
      <c r="A233" t="inlineStr">
        <is>
          <t>Primer año</t>
        </is>
      </c>
      <c r="B233" t="inlineStr">
        <is>
          <t>Tercer periodo</t>
        </is>
      </c>
      <c r="C233" t="n">
        <v>79</v>
      </c>
      <c r="D233" t="n">
        <v>231</v>
      </c>
      <c r="E233" s="3" t="n">
        <v>45863</v>
      </c>
      <c r="F233" t="inlineStr">
        <is>
          <t>Punto de Acuerdo</t>
        </is>
      </c>
      <c r="G233" t="inlineStr">
        <is>
          <t>Acuerdo por el que se exhorta a la secretaría de arte y cultura, así como a los doscientos doce ayuntamientos y cinco concejos municipales del estado, para que implementen programas y actividades artísticas y culturales que fomenten la participación de la comunidad Lgbtiq+</t>
        </is>
      </c>
      <c r="H233" t="n">
        <v>8</v>
      </c>
      <c r="I233" t="inlineStr">
        <is>
          <t>Educación y Cultura</t>
        </is>
      </c>
      <c r="J233" t="n">
        <v>7</v>
      </c>
      <c r="K233" t="n">
        <v>0</v>
      </c>
      <c r="L233" t="n">
        <v>0</v>
      </c>
      <c r="M233" t="n">
        <v>34</v>
      </c>
      <c r="N233">
        <f>SUM(J233:M233)</f>
        <v/>
      </c>
      <c r="O233" s="4">
        <f>SUM(J233:L233)/SUM(J233:M233)</f>
        <v/>
      </c>
      <c r="P233" s="5">
        <f>MAX(J233:L233)/SUM(J233:L233)</f>
        <v/>
      </c>
    </row>
    <row r="234">
      <c r="A234" t="inlineStr">
        <is>
          <t>Primer año</t>
        </is>
      </c>
      <c r="B234" t="inlineStr">
        <is>
          <t>Tercer periodo</t>
        </is>
      </c>
      <c r="C234" t="n">
        <v>80</v>
      </c>
      <c r="D234" t="n">
        <v>232</v>
      </c>
      <c r="E234" s="3" t="n">
        <v>45863</v>
      </c>
      <c r="F234" t="inlineStr">
        <is>
          <t>Punto de Acuerdo</t>
        </is>
      </c>
      <c r="G234" t="inlineStr">
        <is>
          <t>Acuerdo por el que se exhorta a la secretaría de educación pública del estado para que, en coordinación con la policía estatal cibernética, implemente capacitaciones a las y los docentes, y diseñe protocolos de prevención, atención, y denuncia en materia de sexting y violencia digital</t>
        </is>
      </c>
      <c r="H234" t="n">
        <v>8</v>
      </c>
      <c r="I234" t="inlineStr">
        <is>
          <t>Educación y Cultura</t>
        </is>
      </c>
      <c r="J234" t="n">
        <v>8</v>
      </c>
      <c r="K234" t="n">
        <v>0</v>
      </c>
      <c r="L234" t="n">
        <v>0</v>
      </c>
      <c r="M234" t="n">
        <v>33</v>
      </c>
      <c r="N234">
        <f>SUM(J234:M234)</f>
        <v/>
      </c>
      <c r="O234" s="4">
        <f>SUM(J234:L234)/SUM(J234:M234)</f>
        <v/>
      </c>
      <c r="P234" s="5">
        <f>MAX(J234:L234)/SUM(J234:L234)</f>
        <v/>
      </c>
    </row>
    <row r="235">
      <c r="A235" t="inlineStr">
        <is>
          <t>Primer año</t>
        </is>
      </c>
      <c r="B235" t="inlineStr">
        <is>
          <t>Tercer periodo</t>
        </is>
      </c>
      <c r="C235" t="n">
        <v>81</v>
      </c>
      <c r="D235" t="n">
        <v>233</v>
      </c>
      <c r="E235" s="3" t="n">
        <v>45863</v>
      </c>
      <c r="F235" t="inlineStr">
        <is>
          <t>Punto de Acuerdo</t>
        </is>
      </c>
      <c r="G235" t="inlineStr">
        <is>
          <t>Acuerdo por el que se exhorta a la secretaría de educación pública y a la secretaría de salud, para que en coordinación con los doscientos doce ayuntamientos y los cinco concejos municipales del estado, implementen campañas de concientización y prevención de las autolesiones, también denominadas “cutting”</t>
        </is>
      </c>
      <c r="H235" t="n">
        <v>6</v>
      </c>
      <c r="I235" t="inlineStr">
        <is>
          <t>Salud</t>
        </is>
      </c>
      <c r="J235" t="n">
        <v>8</v>
      </c>
      <c r="K235" t="n">
        <v>0</v>
      </c>
      <c r="L235" t="n">
        <v>0</v>
      </c>
      <c r="M235" t="n">
        <v>33</v>
      </c>
      <c r="N235">
        <f>SUM(J235:M235)</f>
        <v/>
      </c>
      <c r="O235" s="4">
        <f>SUM(J235:L235)/SUM(J235:M235)</f>
        <v/>
      </c>
      <c r="P235" s="5">
        <f>MAX(J235:L235)/SUM(J235:L235)</f>
        <v/>
      </c>
    </row>
    <row r="236">
      <c r="A236" t="inlineStr">
        <is>
          <t>Primer año</t>
        </is>
      </c>
      <c r="B236" t="inlineStr">
        <is>
          <t>Tercer periodo</t>
        </is>
      </c>
      <c r="C236" t="n">
        <v>82</v>
      </c>
      <c r="D236" t="n">
        <v>234</v>
      </c>
      <c r="E236" s="3" t="n">
        <v>45863</v>
      </c>
      <c r="F236" t="inlineStr">
        <is>
          <t>Punto de Acuerdo</t>
        </is>
      </c>
      <c r="G236" t="inlineStr">
        <is>
          <t>Acuerdo por el que se exhorta a la secretaría de educación pública para que, en coordinación con la secretaría de salud, ambas del estado, diseñe e implemente un protocolo de atención inmediata de emergencias médicas en el entorno escolar y otorgue capacitación al personal docente, directivo y administrativo</t>
        </is>
      </c>
      <c r="H236" t="n">
        <v>8</v>
      </c>
      <c r="I236" t="inlineStr">
        <is>
          <t>Educación y Cultura</t>
        </is>
      </c>
      <c r="J236" t="n">
        <v>8</v>
      </c>
      <c r="K236" t="n">
        <v>0</v>
      </c>
      <c r="L236" t="n">
        <v>0</v>
      </c>
      <c r="M236" t="n">
        <v>33</v>
      </c>
      <c r="N236">
        <f>SUM(J236:M236)</f>
        <v/>
      </c>
      <c r="O236" s="4">
        <f>SUM(J236:L236)/SUM(J236:M236)</f>
        <v/>
      </c>
      <c r="P236" s="5">
        <f>MAX(J236:L236)/SUM(J236:L236)</f>
        <v/>
      </c>
    </row>
    <row r="237">
      <c r="A237" t="inlineStr">
        <is>
          <t>Primer año</t>
        </is>
      </c>
      <c r="B237" t="inlineStr">
        <is>
          <t>Tercer periodo</t>
        </is>
      </c>
      <c r="C237" t="n">
        <v>83</v>
      </c>
      <c r="D237" t="n">
        <v>235</v>
      </c>
      <c r="E237" s="3" t="n">
        <v>45863</v>
      </c>
      <c r="F237" t="inlineStr">
        <is>
          <t>Punto de Acuerdo</t>
        </is>
      </c>
      <c r="G237" t="inlineStr">
        <is>
          <t>Acuerdo por el que se exhorta a la procuraduría federal del consumidor delegación, para que vigile que las casas de empeño en la entidad se encuentren debidamente inscritas en el registro público de casas de empeño</t>
        </is>
      </c>
      <c r="H237" t="n">
        <v>1</v>
      </c>
      <c r="I237" t="inlineStr">
        <is>
          <t>Economía, Comercio y Competitividad</t>
        </is>
      </c>
      <c r="J237" t="n">
        <v>8</v>
      </c>
      <c r="K237" t="n">
        <v>0</v>
      </c>
      <c r="L237" t="n">
        <v>0</v>
      </c>
      <c r="M237" t="n">
        <v>33</v>
      </c>
      <c r="N237">
        <f>SUM(J237:M237)</f>
        <v/>
      </c>
      <c r="O237" s="4">
        <f>SUM(J237:L237)/SUM(J237:M237)</f>
        <v/>
      </c>
      <c r="P237" s="5">
        <f>MAX(J237:L237)/SUM(J237:L237)</f>
        <v/>
      </c>
    </row>
    <row r="238">
      <c r="A238" t="inlineStr">
        <is>
          <t>Primer año</t>
        </is>
      </c>
      <c r="B238" t="inlineStr">
        <is>
          <t>Tercer periodo</t>
        </is>
      </c>
      <c r="C238" t="n">
        <v>84</v>
      </c>
      <c r="D238" t="n">
        <v>236</v>
      </c>
      <c r="E238" s="3" t="n">
        <v>45863</v>
      </c>
      <c r="F238" t="inlineStr">
        <is>
          <t>Punto de Acuerdo</t>
        </is>
      </c>
      <c r="G238" t="inlineStr">
        <is>
          <t>Acuerdo por el que se exhorta a los doscientos doce ayuntamientos y a los cinco concejos municipales de la entidad, para que realicen los trámites necesarios y destinen los recursos humanos, materiales y financieros para la operación de los servicios de ambulancias médicas y de protección civil municipales</t>
        </is>
      </c>
      <c r="H238" t="n">
        <v>3</v>
      </c>
      <c r="I238" t="inlineStr">
        <is>
          <t>Seguridad Pública, Protección Civil y Narcotráfico</t>
        </is>
      </c>
      <c r="J238" t="n">
        <v>8</v>
      </c>
      <c r="K238" t="n">
        <v>0</v>
      </c>
      <c r="L238" t="n">
        <v>0</v>
      </c>
      <c r="M238" t="n">
        <v>33</v>
      </c>
      <c r="N238">
        <f>SUM(J238:M238)</f>
        <v/>
      </c>
      <c r="O238" s="4">
        <f>SUM(J238:L238)/SUM(J238:M238)</f>
        <v/>
      </c>
      <c r="P238" s="5">
        <f>MAX(J238:L238)/SUM(J238:L238)</f>
        <v/>
      </c>
    </row>
    <row r="239">
      <c r="A239" t="inlineStr">
        <is>
          <t>Primer año</t>
        </is>
      </c>
      <c r="B239" t="inlineStr">
        <is>
          <t>Tercer periodo</t>
        </is>
      </c>
      <c r="C239" t="n">
        <v>85</v>
      </c>
      <c r="D239" t="n">
        <v>237</v>
      </c>
      <c r="E239" s="3" t="n">
        <v>45863</v>
      </c>
      <c r="F239" t="inlineStr">
        <is>
          <t>Punto de Acuerdo</t>
        </is>
      </c>
      <c r="G239" t="inlineStr">
        <is>
          <t>Acuerdo por el que se exhorta a las dependencias de la administración pública del estado y a los doscientos doce ayuntamientos y cinco concejos municipales de la entidad, para que implementen y fortalezcan acciones que garanticen el derecho a la l ncia materna y fomenten la instalación de l rios</t>
        </is>
      </c>
      <c r="H239" t="n">
        <v>2</v>
      </c>
      <c r="I239" t="inlineStr">
        <is>
          <t>Pobreza y Política Social</t>
        </is>
      </c>
      <c r="J239" t="n">
        <v>8</v>
      </c>
      <c r="K239" t="n">
        <v>0</v>
      </c>
      <c r="L239" t="n">
        <v>0</v>
      </c>
      <c r="M239" t="n">
        <v>33</v>
      </c>
      <c r="N239">
        <f>SUM(J239:M239)</f>
        <v/>
      </c>
      <c r="O239" s="4">
        <f>SUM(J239:L239)/SUM(J239:M239)</f>
        <v/>
      </c>
      <c r="P239" s="5">
        <f>MAX(J239:L239)/SUM(J239:L239)</f>
        <v/>
      </c>
    </row>
    <row r="240">
      <c r="A240" t="inlineStr">
        <is>
          <t>Primer año</t>
        </is>
      </c>
      <c r="B240" t="inlineStr">
        <is>
          <t>Tercer periodo</t>
        </is>
      </c>
      <c r="C240" t="n">
        <v>86</v>
      </c>
      <c r="D240" t="n">
        <v>238</v>
      </c>
      <c r="E240" s="3" t="n">
        <v>45863</v>
      </c>
      <c r="F240" t="inlineStr">
        <is>
          <t>Punto de Acuerdo</t>
        </is>
      </c>
      <c r="G240" t="inlineStr">
        <is>
          <t>Acuerdo por el que se exhorta a la secretaría de salud del estado para que de manera coordinada con los doscientos doce ayuntamientos y cinco concejos municipales implementen y fortalezcan las jornadas integrales de salud garantizando el bienestar de las personas adultas mayores</t>
        </is>
      </c>
      <c r="H240" t="n">
        <v>6</v>
      </c>
      <c r="I240" t="inlineStr">
        <is>
          <t>Salud</t>
        </is>
      </c>
      <c r="J240" t="n">
        <v>8</v>
      </c>
      <c r="K240" t="n">
        <v>0</v>
      </c>
      <c r="L240" t="n">
        <v>0</v>
      </c>
      <c r="M240" t="n">
        <v>33</v>
      </c>
      <c r="N240">
        <f>SUM(J240:M240)</f>
        <v/>
      </c>
      <c r="O240" s="4">
        <f>SUM(J240:L240)/SUM(J240:M240)</f>
        <v/>
      </c>
      <c r="P240" s="5">
        <f>MAX(J240:L240)/SUM(J240:L240)</f>
        <v/>
      </c>
    </row>
    <row r="241">
      <c r="A241" t="inlineStr">
        <is>
          <t>Primer año</t>
        </is>
      </c>
      <c r="B241" t="inlineStr">
        <is>
          <t>Tercer periodo</t>
        </is>
      </c>
      <c r="C241" t="n">
        <v>87</v>
      </c>
      <c r="D241" t="n">
        <v>239</v>
      </c>
      <c r="E241" s="3" t="n">
        <v>45863</v>
      </c>
      <c r="F241" t="inlineStr">
        <is>
          <t>Punto de Acuerdo</t>
        </is>
      </c>
      <c r="G241" t="inlineStr">
        <is>
          <t>Acuerdo por el que se exhorta a la secretaría de salud del estado para que amplíe la difusión del panorama epidemiológico del virus de inmunodeficiencia humana (vih) y del síndrome de inmunodeficiencia adquirida (sida)</t>
        </is>
      </c>
      <c r="H241" t="n">
        <v>6</v>
      </c>
      <c r="I241" t="inlineStr">
        <is>
          <t>Salud</t>
        </is>
      </c>
      <c r="J241" t="n">
        <v>8</v>
      </c>
      <c r="K241" t="n">
        <v>0</v>
      </c>
      <c r="L241" t="n">
        <v>0</v>
      </c>
      <c r="M241" t="n">
        <v>33</v>
      </c>
      <c r="N241">
        <f>SUM(J241:M241)</f>
        <v/>
      </c>
      <c r="O241" s="4">
        <f>SUM(J241:L241)/SUM(J241:M241)</f>
        <v/>
      </c>
      <c r="P241" s="5">
        <f>MAX(J241:L241)/SUM(J241:L241)</f>
        <v/>
      </c>
    </row>
    <row r="242">
      <c r="A242" t="inlineStr">
        <is>
          <t>Primer año</t>
        </is>
      </c>
      <c r="B242" t="inlineStr">
        <is>
          <t>Tercer periodo</t>
        </is>
      </c>
      <c r="C242" t="n">
        <v>88</v>
      </c>
      <c r="D242" t="n">
        <v>240</v>
      </c>
      <c r="E242" s="3" t="n">
        <v>45863</v>
      </c>
      <c r="F242" t="inlineStr">
        <is>
          <t>Punto de Acuerdo</t>
        </is>
      </c>
      <c r="G242" t="inlineStr">
        <is>
          <t>Acuerdo por el que se exhorta a la secretaría de salud en coordinación con la secretaría de educación pública, ambas del estado para que implementen campañas de concientización sobre la donación de órganos y tejidos priorizando la orientación en el sector educativo</t>
        </is>
      </c>
      <c r="H242" t="n">
        <v>6</v>
      </c>
      <c r="I242" t="inlineStr">
        <is>
          <t>Salud</t>
        </is>
      </c>
      <c r="J242" t="n">
        <v>8</v>
      </c>
      <c r="K242" t="n">
        <v>0</v>
      </c>
      <c r="L242" t="n">
        <v>0</v>
      </c>
      <c r="M242" t="n">
        <v>33</v>
      </c>
      <c r="N242">
        <f>SUM(J242:M242)</f>
        <v/>
      </c>
      <c r="O242" s="4">
        <f>SUM(J242:L242)/SUM(J242:M242)</f>
        <v/>
      </c>
      <c r="P242" s="5">
        <f>MAX(J242:L242)/SUM(J242:L242)</f>
        <v/>
      </c>
    </row>
    <row r="243">
      <c r="A243" t="inlineStr">
        <is>
          <t>Primer año</t>
        </is>
      </c>
      <c r="B243" t="inlineStr">
        <is>
          <t>Tercer periodo</t>
        </is>
      </c>
      <c r="C243" t="n">
        <v>89</v>
      </c>
      <c r="D243" t="n">
        <v>241</v>
      </c>
      <c r="E243" s="3" t="n">
        <v>45884</v>
      </c>
      <c r="F243" t="inlineStr">
        <is>
          <t>Punto de Acuerdo</t>
        </is>
      </c>
      <c r="G243" t="inlineStr">
        <is>
          <t>Acuerdo por el que se exhorta a los doscientos doce ayuntamientos y a los cinco concejos municipales del estado, para que en términos del artículo 94 de la ley orgánica municipal, autoricen la creación de la comisión de ciencia, tecnología e innovación</t>
        </is>
      </c>
      <c r="H243" t="n">
        <v>18</v>
      </c>
      <c r="I243" t="inlineStr">
        <is>
          <t>Administración Pública</t>
        </is>
      </c>
      <c r="J243" t="n">
        <v>8</v>
      </c>
      <c r="K243" t="n">
        <v>0</v>
      </c>
      <c r="L243" t="n">
        <v>0</v>
      </c>
      <c r="M243" t="n">
        <v>33</v>
      </c>
      <c r="N243">
        <f>SUM(J243:M243)</f>
        <v/>
      </c>
      <c r="O243" s="4">
        <f>SUM(J243:L243)/SUM(J243:M243)</f>
        <v/>
      </c>
      <c r="P243" s="5">
        <f>MAX(J243:L243)/SUM(J243:L243)</f>
        <v/>
      </c>
    </row>
    <row r="244">
      <c r="A244" t="inlineStr">
        <is>
          <t>Primer año</t>
        </is>
      </c>
      <c r="B244" t="inlineStr">
        <is>
          <t>Tercer periodo</t>
        </is>
      </c>
      <c r="C244" t="n">
        <v>90</v>
      </c>
      <c r="D244" t="n">
        <v>242</v>
      </c>
      <c r="E244" s="3" t="n">
        <v>45884</v>
      </c>
      <c r="F244" t="inlineStr">
        <is>
          <t>Punto de Acuerdo</t>
        </is>
      </c>
      <c r="G244" t="inlineStr">
        <is>
          <t>Acuerdo por el que se exhorta al honorable ayuntamiento de Chiautla de Tapia, para que durante su ejercicio constitucional inserte en su papelería oficial la leyenda conmemorativa “Gilberto Bosques Saldívar: mixteco, diplomático, humanista y orgullo de Chiautla de Tapia”</t>
        </is>
      </c>
      <c r="H244" t="n">
        <v>18</v>
      </c>
      <c r="I244" t="inlineStr">
        <is>
          <t>Administración Pública</t>
        </is>
      </c>
      <c r="J244" t="n">
        <v>8</v>
      </c>
      <c r="K244" t="n">
        <v>0</v>
      </c>
      <c r="L244" t="n">
        <v>0</v>
      </c>
      <c r="M244" t="n">
        <v>33</v>
      </c>
      <c r="N244">
        <f>SUM(J244:M244)</f>
        <v/>
      </c>
      <c r="O244" s="4">
        <f>SUM(J244:L244)/SUM(J244:M244)</f>
        <v/>
      </c>
      <c r="P244" s="5">
        <f>MAX(J244:L244)/SUM(J244:L244)</f>
        <v/>
      </c>
    </row>
    <row r="245">
      <c r="A245" t="inlineStr">
        <is>
          <t>Primer año</t>
        </is>
      </c>
      <c r="B245" t="inlineStr">
        <is>
          <t>Tercer periodo</t>
        </is>
      </c>
      <c r="C245" t="n">
        <v>91</v>
      </c>
      <c r="D245" t="n">
        <v>243</v>
      </c>
      <c r="E245" s="3" t="n">
        <v>45884</v>
      </c>
      <c r="F245" t="inlineStr">
        <is>
          <t>Punto de Acuerdo</t>
        </is>
      </c>
      <c r="G245" t="inlineStr">
        <is>
          <t>Acuerdo por el que se exhorta a los doscientos doce ayuntamientos y cinco concejos municipales del estado para que, en coordinación con la secretaría de seguridad pública, realicen operativos de vigilancia en las inmediaciones de los planteles escolares</t>
        </is>
      </c>
      <c r="H245" t="n">
        <v>3</v>
      </c>
      <c r="I245" t="inlineStr">
        <is>
          <t>Seguridad Pública, Protección Civil y Narcotráfico</t>
        </is>
      </c>
      <c r="J245" t="n">
        <v>8</v>
      </c>
      <c r="K245" t="n">
        <v>0</v>
      </c>
      <c r="L245" t="n">
        <v>0</v>
      </c>
      <c r="M245" t="n">
        <v>33</v>
      </c>
      <c r="N245">
        <f>SUM(J245:M245)</f>
        <v/>
      </c>
      <c r="O245" s="4">
        <f>SUM(J245:L245)/SUM(J245:M245)</f>
        <v/>
      </c>
      <c r="P245" s="5">
        <f>MAX(J245:L245)/SUM(J245:L245)</f>
        <v/>
      </c>
    </row>
    <row r="246">
      <c r="A246" t="inlineStr">
        <is>
          <t>Primer año</t>
        </is>
      </c>
      <c r="B246" t="inlineStr">
        <is>
          <t>Tercer periodo</t>
        </is>
      </c>
      <c r="C246" t="n">
        <v>92</v>
      </c>
      <c r="D246" t="n">
        <v>244</v>
      </c>
      <c r="E246" s="3" t="n">
        <v>45884</v>
      </c>
      <c r="F246" t="inlineStr">
        <is>
          <t>Punto de Acuerdo</t>
        </is>
      </c>
      <c r="G246" t="inlineStr">
        <is>
          <t>Acuerdo por el que se exhorta a los doscientos doce ayuntamientos y a los cinco concejos municipales del estado, para que elaboren lineamientos y/o reglas de operación en materia de subsidios, apoyos o donativos</t>
        </is>
      </c>
      <c r="H246" t="n">
        <v>10</v>
      </c>
      <c r="I246" t="inlineStr">
        <is>
          <t>Transparencia y Rendición de Cuentas</t>
        </is>
      </c>
      <c r="J246" t="n">
        <v>8</v>
      </c>
      <c r="K246" t="n">
        <v>0</v>
      </c>
      <c r="L246" t="n">
        <v>0</v>
      </c>
      <c r="M246" t="n">
        <v>33</v>
      </c>
      <c r="N246">
        <f>SUM(J246:M246)</f>
        <v/>
      </c>
      <c r="O246" s="4">
        <f>SUM(J246:L246)/SUM(J246:M246)</f>
        <v/>
      </c>
      <c r="P246" s="5">
        <f>MAX(J246:L246)/SUM(J246:L246)</f>
        <v/>
      </c>
    </row>
    <row r="247">
      <c r="A247" t="inlineStr">
        <is>
          <t>Primer año</t>
        </is>
      </c>
      <c r="B247" t="inlineStr">
        <is>
          <t>Tercer periodo</t>
        </is>
      </c>
      <c r="C247" t="n">
        <v>93</v>
      </c>
      <c r="D247" t="n">
        <v>245</v>
      </c>
      <c r="E247" s="3" t="n">
        <v>45884</v>
      </c>
      <c r="F247" t="inlineStr">
        <is>
          <t>Punto de Acuerdo</t>
        </is>
      </c>
      <c r="G247" t="inlineStr">
        <is>
          <t>Acuerdo por el que se exhorta a los doscientos doce ayuntamientos y a los cinco concejos municipales del estado para que, en el ámbito de su competencia, procedan al retiro de las casetas telefónicas instaladas en la vía pública</t>
        </is>
      </c>
      <c r="H247" t="n">
        <v>11</v>
      </c>
      <c r="I247" t="inlineStr">
        <is>
          <t>Infraestructura, Movilidad y Transporte</t>
        </is>
      </c>
      <c r="J247" t="n">
        <v>8</v>
      </c>
      <c r="K247" t="n">
        <v>0</v>
      </c>
      <c r="L247" t="n">
        <v>0</v>
      </c>
      <c r="M247" t="n">
        <v>33</v>
      </c>
      <c r="N247">
        <f>SUM(J247:M247)</f>
        <v/>
      </c>
      <c r="O247" s="4">
        <f>SUM(J247:L247)/SUM(J247:M247)</f>
        <v/>
      </c>
      <c r="P247" s="5">
        <f>MAX(J247:L247)/SUM(J247:L247)</f>
        <v/>
      </c>
    </row>
    <row r="248">
      <c r="A248" t="inlineStr">
        <is>
          <t>Primer año</t>
        </is>
      </c>
      <c r="B248" t="inlineStr">
        <is>
          <t>Tercer periodo</t>
        </is>
      </c>
      <c r="C248" t="n">
        <v>94</v>
      </c>
      <c r="D248" t="n">
        <v>246</v>
      </c>
      <c r="E248" s="3" t="n">
        <v>45884</v>
      </c>
      <c r="F248" t="inlineStr">
        <is>
          <t>Punto de Acuerdo</t>
        </is>
      </c>
      <c r="G248" t="inlineStr">
        <is>
          <t>Acuerdo por el que se exhorta a las dependencias del gobierno del estado, así como a los doscientos doce ayuntamientos y cinco concejos municipales de la entidad, para que en la difusión de sus convocatorias, programas y acciones consideren la brecha digital</t>
        </is>
      </c>
      <c r="H248" t="n">
        <v>18</v>
      </c>
      <c r="I248" t="inlineStr">
        <is>
          <t>Administración Pública</t>
        </is>
      </c>
      <c r="J248" t="n">
        <v>8</v>
      </c>
      <c r="K248" t="n">
        <v>0</v>
      </c>
      <c r="L248" t="n">
        <v>0</v>
      </c>
      <c r="M248" t="n">
        <v>33</v>
      </c>
      <c r="N248">
        <f>SUM(J248:M248)</f>
        <v/>
      </c>
      <c r="O248" s="4">
        <f>SUM(J248:L248)/SUM(J248:M248)</f>
        <v/>
      </c>
      <c r="P248" s="5">
        <f>MAX(J248:L248)/SUM(J248:L248)</f>
        <v/>
      </c>
    </row>
    <row r="249">
      <c r="A249" t="inlineStr">
        <is>
          <t>Primer año</t>
        </is>
      </c>
      <c r="B249" t="inlineStr">
        <is>
          <t>Tercer periodo</t>
        </is>
      </c>
      <c r="C249" t="n">
        <v>95</v>
      </c>
      <c r="D249" t="n">
        <v>247</v>
      </c>
      <c r="E249" s="3" t="n">
        <v>45890</v>
      </c>
      <c r="F249" t="inlineStr">
        <is>
          <t>Punto de Acuerdo</t>
        </is>
      </c>
      <c r="G249" t="inlineStr">
        <is>
          <t>Acuerdo por el cual dispensar la lectura del orden del día</t>
        </is>
      </c>
      <c r="H249" t="n">
        <v>19</v>
      </c>
      <c r="I249" t="inlineStr">
        <is>
          <t>Internos del Congreso</t>
        </is>
      </c>
      <c r="J249" t="n">
        <v>8</v>
      </c>
      <c r="K249" t="n">
        <v>0</v>
      </c>
      <c r="L249" t="n">
        <v>0</v>
      </c>
      <c r="M249" t="n">
        <v>0</v>
      </c>
      <c r="N249">
        <f>SUM(J249:M249)</f>
        <v/>
      </c>
      <c r="O249" s="4">
        <f>SUM(J249:L249)/SUM(J249:M249)</f>
        <v/>
      </c>
      <c r="P249" s="5">
        <f>MAX(J249:L249)/SUM(J249:L249)</f>
        <v/>
      </c>
    </row>
    <row r="250">
      <c r="A250" t="inlineStr">
        <is>
          <t>Primer año</t>
        </is>
      </c>
      <c r="B250" t="inlineStr">
        <is>
          <t>Tercer periodo</t>
        </is>
      </c>
      <c r="C250" t="n">
        <v>96</v>
      </c>
      <c r="D250" t="n">
        <v>248</v>
      </c>
      <c r="E250" s="3" t="n">
        <v>45890</v>
      </c>
      <c r="F250" t="inlineStr">
        <is>
          <t>Punto de Acuerdo</t>
        </is>
      </c>
      <c r="G250" t="inlineStr">
        <is>
          <t>Acuerdo por el cual dispensar la lectura del acta de la sesión celebrada por la comisión permanente el quince de agosto</t>
        </is>
      </c>
      <c r="H250" t="n">
        <v>19</v>
      </c>
      <c r="I250" t="inlineStr">
        <is>
          <t>Internos del Congreso</t>
        </is>
      </c>
      <c r="J250" t="n">
        <v>8</v>
      </c>
      <c r="K250" t="n">
        <v>0</v>
      </c>
      <c r="L250" t="n">
        <v>0</v>
      </c>
      <c r="M250" t="n">
        <v>0</v>
      </c>
      <c r="N250">
        <f>SUM(J250:M250)</f>
        <v/>
      </c>
      <c r="O250" s="4">
        <f>SUM(J250:L250)/SUM(J250:M250)</f>
        <v/>
      </c>
      <c r="P250" s="5">
        <f>MAX(J250:L250)/SUM(J250:L250)</f>
        <v/>
      </c>
    </row>
    <row r="251">
      <c r="A251" t="inlineStr">
        <is>
          <t>Primer año</t>
        </is>
      </c>
      <c r="B251" t="inlineStr">
        <is>
          <t>Tercer periodo</t>
        </is>
      </c>
      <c r="C251" t="n">
        <v>97</v>
      </c>
      <c r="D251" t="n">
        <v>249</v>
      </c>
      <c r="E251" s="3" t="n">
        <v>45890</v>
      </c>
      <c r="F251" t="inlineStr">
        <is>
          <t>Punto de Acuerdo</t>
        </is>
      </c>
      <c r="G251" t="inlineStr">
        <is>
          <t>Acuerdo por el cual aprobado su contenido</t>
        </is>
      </c>
      <c r="H251" t="n">
        <v>19</v>
      </c>
      <c r="I251" t="inlineStr">
        <is>
          <t>Internos del Congreso</t>
        </is>
      </c>
      <c r="J251" t="n">
        <v>8</v>
      </c>
      <c r="K251" t="n">
        <v>0</v>
      </c>
      <c r="L251" t="n">
        <v>0</v>
      </c>
      <c r="M251" t="n">
        <v>0</v>
      </c>
      <c r="N251">
        <f>SUM(J251:M251)</f>
        <v/>
      </c>
      <c r="O251" s="4">
        <f>SUM(J251:L251)/SUM(J251:M251)</f>
        <v/>
      </c>
      <c r="P251" s="5">
        <f>MAX(J251:L251)/SUM(J251:L251)</f>
        <v/>
      </c>
    </row>
    <row r="252">
      <c r="A252" t="inlineStr">
        <is>
          <t>Primer año</t>
        </is>
      </c>
      <c r="B252" t="inlineStr">
        <is>
          <t>Tercer periodo</t>
        </is>
      </c>
      <c r="C252" t="n">
        <v>98</v>
      </c>
      <c r="D252" t="n">
        <v>250</v>
      </c>
      <c r="E252" s="3" t="n">
        <v>45897</v>
      </c>
      <c r="F252" t="inlineStr">
        <is>
          <t>Punto de Acuerdo</t>
        </is>
      </c>
      <c r="G252" t="inlineStr">
        <is>
          <t>Acuerdo por el cual exhorta a los doscientos doce ayuntamientos y cinco concejos municipales, a la secretaría de medio ambiente, desarrollo sustentable y ordenamiento territorial y a la secretaría de agricultura y desarrollo rural, ambas del estado, para que en el ámbito de sus competencias y de manera coordinada observen y difundan el contenido de la norma oficial mexicana nom-015-semarnat/agricultura-2023</t>
        </is>
      </c>
      <c r="H252" t="n">
        <v>5</v>
      </c>
      <c r="I252" t="inlineStr">
        <is>
          <t>Medio Ambiente</t>
        </is>
      </c>
      <c r="J252" t="n">
        <v>8</v>
      </c>
      <c r="K252" t="n">
        <v>0</v>
      </c>
      <c r="L252" t="n">
        <v>0</v>
      </c>
      <c r="M252" t="n">
        <v>0</v>
      </c>
      <c r="N252">
        <f>SUM(J252:M252)</f>
        <v/>
      </c>
      <c r="O252" s="4">
        <f>SUM(J252:L252)/SUM(J252:M252)</f>
        <v/>
      </c>
      <c r="P252" s="5">
        <f>MAX(J252:L252)/SUM(J252:L252)</f>
        <v/>
      </c>
    </row>
    <row r="253">
      <c r="A253" t="inlineStr">
        <is>
          <t>Primer año</t>
        </is>
      </c>
      <c r="B253" t="inlineStr">
        <is>
          <t>Tercer periodo</t>
        </is>
      </c>
      <c r="C253" t="n">
        <v>99</v>
      </c>
      <c r="D253" t="n">
        <v>251</v>
      </c>
      <c r="E253" s="3" t="n">
        <v>45897</v>
      </c>
      <c r="F253" t="inlineStr">
        <is>
          <t>Punto de Acuerdo</t>
        </is>
      </c>
      <c r="G253" t="inlineStr">
        <is>
          <t>Acuerdo por el cual exhorta a la secretaría de educación pública para que, de manera coordinada con la secretaría de salud, ambas del estado, implementen acciones de prevención, identificación, atención y diagnóstico de casos de acoso escolar o bullying, así como campañas de fortalecimiento de la salud mental</t>
        </is>
      </c>
      <c r="H253" t="n">
        <v>6</v>
      </c>
      <c r="I253" t="inlineStr">
        <is>
          <t>Salud</t>
        </is>
      </c>
      <c r="J253" t="n">
        <v>8</v>
      </c>
      <c r="K253" t="n">
        <v>0</v>
      </c>
      <c r="L253" t="n">
        <v>0</v>
      </c>
      <c r="M253" t="n">
        <v>0</v>
      </c>
      <c r="N253">
        <f>SUM(J253:M253)</f>
        <v/>
      </c>
      <c r="O253" s="4">
        <f>SUM(J253:L253)/SUM(J253:M253)</f>
        <v/>
      </c>
      <c r="P253" s="5">
        <f>MAX(J253:L253)/SUM(J253:L253)</f>
        <v/>
      </c>
    </row>
    <row r="254">
      <c r="A254" t="inlineStr">
        <is>
          <t>Primer año</t>
        </is>
      </c>
      <c r="B254" t="inlineStr">
        <is>
          <t>Tercer periodo</t>
        </is>
      </c>
      <c r="C254" t="n">
        <v>100</v>
      </c>
      <c r="D254" t="n">
        <v>252</v>
      </c>
      <c r="E254" s="3" t="n">
        <v>45897</v>
      </c>
      <c r="F254" t="inlineStr">
        <is>
          <t>Punto de Acuerdo</t>
        </is>
      </c>
      <c r="G254" t="inlineStr">
        <is>
          <t>Acuerdo por el cual exhorta a la secretaría de educación pública para que, en coordinación con la secretaría de salud, ambas del estado, implementen acciones preventivas encaminadas a evitar la propagación del virus coxsackie en las instituciones educativas de la entidad durante el ciclo escolar 2025–2026</t>
        </is>
      </c>
      <c r="H254" t="n">
        <v>6</v>
      </c>
      <c r="I254" t="inlineStr">
        <is>
          <t>Salud</t>
        </is>
      </c>
      <c r="J254" t="n">
        <v>8</v>
      </c>
      <c r="K254" t="n">
        <v>0</v>
      </c>
      <c r="L254" t="n">
        <v>0</v>
      </c>
      <c r="M254" t="n">
        <v>0</v>
      </c>
      <c r="N254">
        <f>SUM(J254:M254)</f>
        <v/>
      </c>
      <c r="O254" s="4">
        <f>SUM(J254:L254)/SUM(J254:M254)</f>
        <v/>
      </c>
      <c r="P254" s="5">
        <f>MAX(J254:L254)/SUM(J254:L254)</f>
        <v/>
      </c>
    </row>
    <row r="255">
      <c r="A255" t="inlineStr">
        <is>
          <t>Primer año</t>
        </is>
      </c>
      <c r="B255" t="inlineStr">
        <is>
          <t>Tercer periodo</t>
        </is>
      </c>
      <c r="C255" t="n">
        <v>101</v>
      </c>
      <c r="D255" t="n">
        <v>253</v>
      </c>
      <c r="E255" s="3" t="n">
        <v>45897</v>
      </c>
      <c r="F255" t="inlineStr">
        <is>
          <t>Punto de Acuerdo</t>
        </is>
      </c>
      <c r="G255" t="inlineStr">
        <is>
          <t>Acuerdo por el cual exhorta a la secretaría de desarrollo económico y trabajo del estado, para que en el ámbito de su competencia y en coordinación con los municipios de ajalpan, altepexi, coxcatlán, zinacatepec, san gabriel chilac y san josé miahuatlán, todos del estado, promuevan la generación de fuentes de empleo, la atracción de inversiones y el impulso de proyectos de emprendimiento</t>
        </is>
      </c>
      <c r="H255" t="n">
        <v>1</v>
      </c>
      <c r="I255" t="inlineStr">
        <is>
          <t>Economía, Comercio y Competitividad</t>
        </is>
      </c>
      <c r="J255" t="n">
        <v>8</v>
      </c>
      <c r="K255" t="n">
        <v>0</v>
      </c>
      <c r="L255" t="n">
        <v>0</v>
      </c>
      <c r="M255" t="n">
        <v>0</v>
      </c>
      <c r="N255">
        <f>SUM(J255:M255)</f>
        <v/>
      </c>
      <c r="O255" s="4">
        <f>SUM(J255:L255)/SUM(J255:M255)</f>
        <v/>
      </c>
      <c r="P255" s="5">
        <f>MAX(J255:L255)/SUM(J255:L255)</f>
        <v/>
      </c>
    </row>
    <row r="256">
      <c r="A256" t="inlineStr">
        <is>
          <t>Primer año</t>
        </is>
      </c>
      <c r="B256" t="inlineStr">
        <is>
          <t>Tercer periodo</t>
        </is>
      </c>
      <c r="C256" t="n">
        <v>102</v>
      </c>
      <c r="D256" t="n">
        <v>254</v>
      </c>
      <c r="E256" s="3" t="n">
        <v>45897</v>
      </c>
      <c r="F256" t="inlineStr">
        <is>
          <t>Punto de Acuerdo</t>
        </is>
      </c>
      <c r="G256" t="inlineStr">
        <is>
          <t>Acuerdo por el cual exhorta a la secretaría de desarrollo económico y trabajo, y a los doscientos doce ayuntamientos y cinco concejos municipales del estado para que, en el ámbito de su competencia, impulsen acciones de orientación y sensibilización sobre la reforma a la ley federal del trabajo conocida como ley silla</t>
        </is>
      </c>
      <c r="H256" t="n">
        <v>16</v>
      </c>
      <c r="I256" t="inlineStr">
        <is>
          <t>Trabajo y Previsión Social</t>
        </is>
      </c>
      <c r="J256" t="n">
        <v>8</v>
      </c>
      <c r="K256" t="n">
        <v>0</v>
      </c>
      <c r="L256" t="n">
        <v>0</v>
      </c>
      <c r="M256" t="n">
        <v>0</v>
      </c>
      <c r="N256">
        <f>SUM(J256:M256)</f>
        <v/>
      </c>
      <c r="O256" s="4">
        <f>SUM(J256:L256)/SUM(J256:M256)</f>
        <v/>
      </c>
      <c r="P256" s="5">
        <f>MAX(J256:L256)/SUM(J256:L256)</f>
        <v/>
      </c>
    </row>
    <row r="257">
      <c r="A257" t="inlineStr">
        <is>
          <t>Primer año</t>
        </is>
      </c>
      <c r="B257" t="inlineStr">
        <is>
          <t>Tercer periodo</t>
        </is>
      </c>
      <c r="C257" t="n">
        <v>103</v>
      </c>
      <c r="D257" t="n">
        <v>255</v>
      </c>
      <c r="E257" s="3" t="n">
        <v>45897</v>
      </c>
      <c r="F257" t="inlineStr">
        <is>
          <t>Punto de Acuerdo</t>
        </is>
      </c>
      <c r="G257" t="inlineStr">
        <is>
          <t>Acuerdo por el cual exhorta al instituto poblano de los pueblos indígenas, para que a través de la dirección de academia de lenguas indígenas y en coordinación con las autoridades competentes, realicen de forma gradual la traducción del orden jurídico poblano a las diversas lenguas indígenas reconocidas en la entidad</t>
        </is>
      </c>
      <c r="H257" t="n">
        <v>18</v>
      </c>
      <c r="I257" t="inlineStr">
        <is>
          <t>Administración Pública</t>
        </is>
      </c>
      <c r="J257" t="n">
        <v>9</v>
      </c>
      <c r="K257" t="n">
        <v>0</v>
      </c>
      <c r="L257" t="n">
        <v>0</v>
      </c>
      <c r="M257" t="n">
        <v>0</v>
      </c>
      <c r="N257">
        <f>SUM(J257:M257)</f>
        <v/>
      </c>
      <c r="O257" s="4">
        <f>SUM(J257:L257)/SUM(J257:M257)</f>
        <v/>
      </c>
      <c r="P257" s="5">
        <f>MAX(J257:L257)/SUM(J257:L257)</f>
        <v/>
      </c>
    </row>
    <row r="258">
      <c r="A258" t="inlineStr">
        <is>
          <t>Primer año</t>
        </is>
      </c>
      <c r="B258" t="inlineStr">
        <is>
          <t>Tercer periodo</t>
        </is>
      </c>
      <c r="C258" t="n">
        <v>104</v>
      </c>
      <c r="D258" t="n">
        <v>256</v>
      </c>
      <c r="E258" s="3" t="n">
        <v>45897</v>
      </c>
      <c r="F258" t="inlineStr">
        <is>
          <t>Punto de Acuerdo</t>
        </is>
      </c>
      <c r="G258" t="inlineStr">
        <is>
          <t>Acuerdo por el cual exhorta a la secretaría de planeación, finanzas y administración del estado para que, en el ámbito de sus atribuciones, realice visitas domiciliarias y de verificación de mercancías de procedencia extranjera en establecimientos comerciales</t>
        </is>
      </c>
      <c r="H258" t="n">
        <v>7</v>
      </c>
      <c r="I258" t="inlineStr">
        <is>
          <t>Impuestos, Finanzas Públicas, Patrimonio estatal y municipal</t>
        </is>
      </c>
      <c r="J258" t="n">
        <v>9</v>
      </c>
      <c r="K258" t="n">
        <v>0</v>
      </c>
      <c r="L258" t="n">
        <v>0</v>
      </c>
      <c r="M258" t="n">
        <v>0</v>
      </c>
      <c r="N258">
        <f>SUM(J258:M258)</f>
        <v/>
      </c>
      <c r="O258" s="4">
        <f>SUM(J258:L258)/SUM(J258:M258)</f>
        <v/>
      </c>
      <c r="P258" s="5">
        <f>MAX(J258:L258)/SUM(J258:L258)</f>
        <v/>
      </c>
    </row>
    <row r="259">
      <c r="A259" t="inlineStr">
        <is>
          <t>Primer año</t>
        </is>
      </c>
      <c r="B259" t="inlineStr">
        <is>
          <t>Tercer periodo</t>
        </is>
      </c>
      <c r="C259" t="n">
        <v>105</v>
      </c>
      <c r="D259" t="n">
        <v>257</v>
      </c>
      <c r="E259" s="3" t="n">
        <v>45897</v>
      </c>
      <c r="F259" t="inlineStr">
        <is>
          <t>Punto de Acuerdo</t>
        </is>
      </c>
      <c r="G259" t="inlineStr">
        <is>
          <t>Acuerdo por el cual exhorta a las secretarías de arte y cultura; y a la de desarrollo turístico, ambas del estado, para que promuevan y difundan la feria de los muertos del municipio de zacatlán</t>
        </is>
      </c>
      <c r="H259" t="n">
        <v>8</v>
      </c>
      <c r="I259" t="inlineStr">
        <is>
          <t>Educación y Cultura</t>
        </is>
      </c>
      <c r="J259" t="n">
        <v>9</v>
      </c>
      <c r="K259" t="n">
        <v>0</v>
      </c>
      <c r="L259" t="n">
        <v>0</v>
      </c>
      <c r="M259" t="n">
        <v>0</v>
      </c>
      <c r="N259">
        <f>SUM(J259:M259)</f>
        <v/>
      </c>
      <c r="O259" s="4">
        <f>SUM(J259:L259)/SUM(J259:M259)</f>
        <v/>
      </c>
      <c r="P259" s="5">
        <f>MAX(J259:L259)/SUM(J259:L259)</f>
        <v/>
      </c>
    </row>
    <row r="260">
      <c r="A260" t="inlineStr">
        <is>
          <t>Primer año</t>
        </is>
      </c>
      <c r="B260" t="inlineStr">
        <is>
          <t>Tercer periodo</t>
        </is>
      </c>
      <c r="C260" t="n">
        <v>106</v>
      </c>
      <c r="D260" t="n">
        <v>258</v>
      </c>
      <c r="E260" s="3" t="n">
        <v>45897</v>
      </c>
      <c r="F260" t="inlineStr">
        <is>
          <t>Punto de Acuerdo</t>
        </is>
      </c>
      <c r="G260" t="inlineStr">
        <is>
          <t>Acuerdo por el cual exhorta a la secretaría de arte y cultura del estado, para que realice las acciones necesarias a fin de que el adobo de tepanco, originario del municipio de tepanco de lópez, sea declarado patrimonio cultural intangible del estado</t>
        </is>
      </c>
      <c r="H260" t="n">
        <v>8</v>
      </c>
      <c r="I260" t="inlineStr">
        <is>
          <t>Educación y Cultura</t>
        </is>
      </c>
      <c r="J260" t="n">
        <v>9</v>
      </c>
      <c r="K260" t="n">
        <v>0</v>
      </c>
      <c r="L260" t="n">
        <v>0</v>
      </c>
      <c r="M260" t="n">
        <v>0</v>
      </c>
      <c r="N260">
        <f>SUM(J260:M260)</f>
        <v/>
      </c>
      <c r="O260" s="4">
        <f>SUM(J260:L260)/SUM(J260:M260)</f>
        <v/>
      </c>
      <c r="P260" s="5">
        <f>MAX(J260:L260)/SUM(J260:L260)</f>
        <v/>
      </c>
    </row>
    <row r="261">
      <c r="A261" t="inlineStr">
        <is>
          <t>Primer año</t>
        </is>
      </c>
      <c r="B261" t="inlineStr">
        <is>
          <t>Tercer periodo</t>
        </is>
      </c>
      <c r="C261" t="n">
        <v>107</v>
      </c>
      <c r="D261" t="n">
        <v>259</v>
      </c>
      <c r="E261" s="3" t="n">
        <v>45904</v>
      </c>
      <c r="F261" t="inlineStr">
        <is>
          <t>Punto de Acuerdo</t>
        </is>
      </c>
      <c r="G261" t="inlineStr">
        <is>
          <t>Acuerdo por el que se exhorta al sistema operador de los servicios de agua potable y alcantarillado del municipio y al consorcio “agua de para todos” concesiones integrales, s.a de c.v.</t>
        </is>
      </c>
      <c r="H261" t="n">
        <v>11</v>
      </c>
      <c r="I261" t="inlineStr">
        <is>
          <t>Infraestructura, Movilidad y Transporte</t>
        </is>
      </c>
      <c r="J261" t="n">
        <v>9</v>
      </c>
      <c r="K261" t="n">
        <v>0</v>
      </c>
      <c r="L261" t="n">
        <v>0</v>
      </c>
      <c r="M261" t="n">
        <v>0</v>
      </c>
      <c r="N261">
        <f>SUM(J261:M261)</f>
        <v/>
      </c>
      <c r="O261" s="4">
        <f>SUM(J261:L261)/SUM(J261:M261)</f>
        <v/>
      </c>
      <c r="P261" s="5">
        <f>MAX(J261:L261)/SUM(J261:L261)</f>
        <v/>
      </c>
    </row>
    <row r="262">
      <c r="A262" t="inlineStr">
        <is>
          <t>Primer año</t>
        </is>
      </c>
      <c r="B262" t="inlineStr">
        <is>
          <t>Tercer periodo</t>
        </is>
      </c>
      <c r="C262" t="n">
        <v>108</v>
      </c>
      <c r="D262" t="n">
        <v>260</v>
      </c>
      <c r="E262" s="3" t="n">
        <v>45904</v>
      </c>
      <c r="F262" t="inlineStr">
        <is>
          <t>Punto de Acuerdo</t>
        </is>
      </c>
      <c r="G262" t="inlineStr">
        <is>
          <t>Acuerdo por el que se exhorta a los doscientos doce ayuntamientos y a los cinco concejos municipales del estado</t>
        </is>
      </c>
      <c r="H262" t="n">
        <v>7</v>
      </c>
      <c r="I262" t="inlineStr">
        <is>
          <t>Impuestos, Finanzas Públicas, Patrimonio estatal y municipal</t>
        </is>
      </c>
      <c r="J262" t="n">
        <v>9</v>
      </c>
      <c r="K262" t="n">
        <v>0</v>
      </c>
      <c r="L262" t="n">
        <v>0</v>
      </c>
      <c r="M262" t="n">
        <v>0</v>
      </c>
      <c r="N262">
        <f>SUM(J262:M262)</f>
        <v/>
      </c>
      <c r="O262" s="4">
        <f>SUM(J262:L262)/SUM(J262:M262)</f>
        <v/>
      </c>
      <c r="P262" s="5">
        <f>MAX(J262:L262)/SUM(J262:L262)</f>
        <v/>
      </c>
    </row>
    <row r="263">
      <c r="A263" t="inlineStr">
        <is>
          <t>Primer año</t>
        </is>
      </c>
      <c r="B263" t="inlineStr">
        <is>
          <t>Tercer periodo</t>
        </is>
      </c>
      <c r="C263" t="n">
        <v>109</v>
      </c>
      <c r="D263" t="n">
        <v>261</v>
      </c>
      <c r="E263" s="3" t="n">
        <v>45904</v>
      </c>
      <c r="F263" t="inlineStr">
        <is>
          <t>Punto de Acuerdo</t>
        </is>
      </c>
      <c r="G263" t="inlineStr">
        <is>
          <t>Acuerdo por el que se exhorta a las secretarías de educación pública, y a la de ciencia, humanidades, tecnología e innovación</t>
        </is>
      </c>
      <c r="H263" t="n">
        <v>8</v>
      </c>
      <c r="I263" t="inlineStr">
        <is>
          <t>Educación y Cultura</t>
        </is>
      </c>
      <c r="J263" t="n">
        <v>9</v>
      </c>
      <c r="K263" t="n">
        <v>0</v>
      </c>
      <c r="L263" t="n">
        <v>0</v>
      </c>
      <c r="M263" t="n">
        <v>0</v>
      </c>
      <c r="N263">
        <f>SUM(J263:M263)</f>
        <v/>
      </c>
      <c r="O263" s="4">
        <f>SUM(J263:L263)/SUM(J263:M263)</f>
        <v/>
      </c>
      <c r="P263" s="5">
        <f>MAX(J263:L263)/SUM(J263:L263)</f>
        <v/>
      </c>
    </row>
    <row r="264">
      <c r="A264" t="inlineStr">
        <is>
          <t>Primer año</t>
        </is>
      </c>
      <c r="B264" t="inlineStr">
        <is>
          <t>Tercer periodo</t>
        </is>
      </c>
      <c r="C264" t="n">
        <v>110</v>
      </c>
      <c r="D264" t="n">
        <v>262</v>
      </c>
      <c r="E264" s="3" t="n">
        <v>45904</v>
      </c>
      <c r="F264" t="inlineStr">
        <is>
          <t>Punto de Acuerdo</t>
        </is>
      </c>
      <c r="G264" t="inlineStr">
        <is>
          <t>Acuerdo por el que se exhorta a la secretaría de salud del estado</t>
        </is>
      </c>
      <c r="H264" t="n">
        <v>6</v>
      </c>
      <c r="I264" t="inlineStr">
        <is>
          <t>Salud</t>
        </is>
      </c>
      <c r="J264" t="n">
        <v>9</v>
      </c>
      <c r="K264" t="n">
        <v>0</v>
      </c>
      <c r="L264" t="n">
        <v>0</v>
      </c>
      <c r="M264" t="n">
        <v>0</v>
      </c>
      <c r="N264">
        <f>SUM(J264:M264)</f>
        <v/>
      </c>
      <c r="O264" s="4">
        <f>SUM(J264:L264)/SUM(J264:M264)</f>
        <v/>
      </c>
      <c r="P264" s="5">
        <f>MAX(J264:L264)/SUM(J264:L264)</f>
        <v/>
      </c>
    </row>
    <row r="265">
      <c r="A265" t="inlineStr">
        <is>
          <t>Primer año</t>
        </is>
      </c>
      <c r="B265" t="inlineStr">
        <is>
          <t>Tercer periodo</t>
        </is>
      </c>
      <c r="C265" t="n">
        <v>111</v>
      </c>
      <c r="D265" t="n">
        <v>263</v>
      </c>
      <c r="E265" s="3" t="n">
        <v>45904</v>
      </c>
      <c r="F265" t="inlineStr">
        <is>
          <t>Punto de Acuerdo</t>
        </is>
      </c>
      <c r="G265" t="inlineStr">
        <is>
          <t>Acuerdo por el que se exhorta a la secretaría de salud del estado y al instituto de seguridad y servicios sociales de los trabajadores al servicio de los poderes del estado</t>
        </is>
      </c>
      <c r="H265" t="n">
        <v>6</v>
      </c>
      <c r="I265" t="inlineStr">
        <is>
          <t>Salud</t>
        </is>
      </c>
      <c r="J265" t="n">
        <v>9</v>
      </c>
      <c r="K265" t="n">
        <v>0</v>
      </c>
      <c r="L265" t="n">
        <v>0</v>
      </c>
      <c r="M265" t="n">
        <v>0</v>
      </c>
      <c r="N265">
        <f>SUM(J265:M265)</f>
        <v/>
      </c>
      <c r="O265" s="4">
        <f>SUM(J265:L265)/SUM(J265:M265)</f>
        <v/>
      </c>
      <c r="P265" s="5">
        <f>MAX(J265:L265)/SUM(J265:L265)</f>
        <v/>
      </c>
    </row>
    <row r="266">
      <c r="A266" t="inlineStr">
        <is>
          <t>Primer año</t>
        </is>
      </c>
      <c r="B266" t="inlineStr">
        <is>
          <t>Tercer periodo</t>
        </is>
      </c>
      <c r="C266" t="n">
        <v>112</v>
      </c>
      <c r="D266" t="n">
        <v>264</v>
      </c>
      <c r="E266" s="3" t="n">
        <v>45904</v>
      </c>
      <c r="F266" t="inlineStr">
        <is>
          <t>Punto de Acuerdo</t>
        </is>
      </c>
      <c r="G266" t="inlineStr">
        <is>
          <t>Acuerdo por el que se exhorta a la secretaría de gobernación del estado</t>
        </is>
      </c>
      <c r="H266" t="n">
        <v>18</v>
      </c>
      <c r="I266" t="inlineStr">
        <is>
          <t>Administración Pública</t>
        </is>
      </c>
      <c r="J266" t="n">
        <v>9</v>
      </c>
      <c r="K266" t="n">
        <v>0</v>
      </c>
      <c r="L266" t="n">
        <v>0</v>
      </c>
      <c r="M266" t="n">
        <v>0</v>
      </c>
      <c r="N266">
        <f>SUM(J266:M266)</f>
        <v/>
      </c>
      <c r="O266" s="4">
        <f>SUM(J266:L266)/SUM(J266:M266)</f>
        <v/>
      </c>
      <c r="P266" s="5">
        <f>MAX(J266:L266)/SUM(J266:L266)</f>
        <v/>
      </c>
    </row>
    <row r="267">
      <c r="A267" t="inlineStr">
        <is>
          <t>Primer año</t>
        </is>
      </c>
      <c r="B267" t="inlineStr">
        <is>
          <t>Tercer periodo</t>
        </is>
      </c>
      <c r="C267" t="n">
        <v>113</v>
      </c>
      <c r="D267" t="n">
        <v>265</v>
      </c>
      <c r="E267" s="3" t="n">
        <v>45904</v>
      </c>
      <c r="F267" t="inlineStr">
        <is>
          <t>Punto de Acuerdo</t>
        </is>
      </c>
      <c r="G267" t="inlineStr">
        <is>
          <t>Acuerdo por el que se exhorta a la dirección general del registro del estado civil de las personas y a la secretaría de planeación, finanzas y administración</t>
        </is>
      </c>
      <c r="H267" t="n">
        <v>18</v>
      </c>
      <c r="I267" t="inlineStr">
        <is>
          <t>Administración Pública</t>
        </is>
      </c>
      <c r="J267" t="n">
        <v>9</v>
      </c>
      <c r="K267" t="n">
        <v>0</v>
      </c>
      <c r="L267" t="n">
        <v>0</v>
      </c>
      <c r="M267" t="n">
        <v>0</v>
      </c>
      <c r="N267">
        <f>SUM(J267:M267)</f>
        <v/>
      </c>
      <c r="O267" s="4">
        <f>SUM(J267:L267)/SUM(J267:M267)</f>
        <v/>
      </c>
      <c r="P267" s="5">
        <f>MAX(J267:L267)/SUM(J267:L267)</f>
        <v/>
      </c>
    </row>
    <row r="268">
      <c r="A268" t="inlineStr">
        <is>
          <t>Primer año</t>
        </is>
      </c>
      <c r="B268" t="inlineStr">
        <is>
          <t>Tercer periodo</t>
        </is>
      </c>
      <c r="C268" t="n">
        <v>114</v>
      </c>
      <c r="D268" t="n">
        <v>266</v>
      </c>
      <c r="E268" s="3" t="n">
        <v>45904</v>
      </c>
      <c r="F268" t="inlineStr">
        <is>
          <t>Punto de Acuerdo</t>
        </is>
      </c>
      <c r="G268" t="inlineStr">
        <is>
          <t>Acuerdo por el que se exhorta a los doscientos doce ayuntamientos y a los cinco concejos municipales del estado</t>
        </is>
      </c>
      <c r="H268" t="n">
        <v>16</v>
      </c>
      <c r="I268" t="inlineStr">
        <is>
          <t>Trabajo y Previsión Social</t>
        </is>
      </c>
      <c r="J268" t="n">
        <v>9</v>
      </c>
      <c r="K268" t="n">
        <v>0</v>
      </c>
      <c r="L268" t="n">
        <v>0</v>
      </c>
      <c r="M268" t="n">
        <v>0</v>
      </c>
      <c r="N268">
        <f>SUM(J268:M268)</f>
        <v/>
      </c>
      <c r="O268" s="4">
        <f>SUM(J268:L268)/SUM(J268:M268)</f>
        <v/>
      </c>
      <c r="P268" s="5">
        <f>MAX(J268:L268)/SUM(J268:L268)</f>
        <v/>
      </c>
    </row>
    <row r="269">
      <c r="A269" t="inlineStr">
        <is>
          <t>Primer año</t>
        </is>
      </c>
      <c r="B269" t="inlineStr">
        <is>
          <t>Tercer periodo</t>
        </is>
      </c>
      <c r="C269" t="n">
        <v>115</v>
      </c>
      <c r="D269" t="n">
        <v>267</v>
      </c>
      <c r="E269" s="3" t="n">
        <v>45904</v>
      </c>
      <c r="F269" t="inlineStr">
        <is>
          <t>Punto de Acuerdo</t>
        </is>
      </c>
      <c r="G269" t="inlineStr">
        <is>
          <t>Acuerdo por el que se exhorta a los doscientos doce ayuntamientos y a los cinco concejos municipales del estado</t>
        </is>
      </c>
      <c r="H269" t="n">
        <v>8</v>
      </c>
      <c r="I269" t="inlineStr">
        <is>
          <t>Educación y Cultura</t>
        </is>
      </c>
      <c r="J269" t="n">
        <v>9</v>
      </c>
      <c r="K269" t="n">
        <v>0</v>
      </c>
      <c r="L269" t="n">
        <v>0</v>
      </c>
      <c r="M269" t="n">
        <v>0</v>
      </c>
      <c r="N269">
        <f>SUM(J269:M269)</f>
        <v/>
      </c>
      <c r="O269" s="4">
        <f>SUM(J269:L269)/SUM(J269:M269)</f>
        <v/>
      </c>
      <c r="P269" s="5">
        <f>MAX(J269:L269)/SUM(J269:L269)</f>
        <v/>
      </c>
    </row>
    <row r="270">
      <c r="A270" t="inlineStr">
        <is>
          <t>Primer año</t>
        </is>
      </c>
      <c r="B270" t="inlineStr">
        <is>
          <t>Tercer periodo</t>
        </is>
      </c>
      <c r="C270" t="n">
        <v>116</v>
      </c>
      <c r="D270" t="n">
        <v>268</v>
      </c>
      <c r="E270" s="3" t="n">
        <v>45904</v>
      </c>
      <c r="F270" t="inlineStr">
        <is>
          <t>Punto de Acuerdo</t>
        </is>
      </c>
      <c r="G270" t="inlineStr">
        <is>
          <t>Acuerdo por el que se exhorta a los doscientos doce ayuntamientos y cinco concejos municipales de la entidad</t>
        </is>
      </c>
      <c r="H270" t="n">
        <v>20</v>
      </c>
      <c r="I270" t="inlineStr">
        <is>
          <t>Justicia y Estado de Derecho en temas de Mujeres</t>
        </is>
      </c>
      <c r="J270" t="n">
        <v>9</v>
      </c>
      <c r="K270" t="n">
        <v>0</v>
      </c>
      <c r="L270" t="n">
        <v>0</v>
      </c>
      <c r="M270" t="n">
        <v>0</v>
      </c>
      <c r="N270">
        <f>SUM(J270:M270)</f>
        <v/>
      </c>
      <c r="O270" s="4">
        <f>SUM(J270:L270)/SUM(J270:M270)</f>
        <v/>
      </c>
      <c r="P270" s="5">
        <f>MAX(J270:L270)/SUM(J270:L270)</f>
        <v/>
      </c>
    </row>
    <row r="271">
      <c r="A271" t="inlineStr">
        <is>
          <t>Primer año</t>
        </is>
      </c>
      <c r="B271" t="inlineStr">
        <is>
          <t>Tercer periodo</t>
        </is>
      </c>
      <c r="C271" t="n">
        <v>117</v>
      </c>
      <c r="D271" t="n">
        <v>269</v>
      </c>
      <c r="E271" s="3" t="n">
        <v>45904</v>
      </c>
      <c r="F271" t="inlineStr">
        <is>
          <t>Punto de Acuerdo</t>
        </is>
      </c>
      <c r="G271" t="inlineStr">
        <is>
          <t>Acuerdo por el que se exhorta a la secretaría de desarrollo turístico del estado de</t>
        </is>
      </c>
      <c r="H271" t="n">
        <v>1</v>
      </c>
      <c r="I271" t="inlineStr">
        <is>
          <t>Economía, Comercio y Competitividad</t>
        </is>
      </c>
      <c r="J271" t="n">
        <v>9</v>
      </c>
      <c r="K271" t="n">
        <v>0</v>
      </c>
      <c r="L271" t="n">
        <v>0</v>
      </c>
      <c r="M271" t="n">
        <v>0</v>
      </c>
      <c r="N271">
        <f>SUM(J271:M271)</f>
        <v/>
      </c>
      <c r="O271" s="4">
        <f>SUM(J271:L271)/SUM(J271:M271)</f>
        <v/>
      </c>
      <c r="P271" s="5">
        <f>MAX(J271:L271)/SUM(J271:L271)</f>
        <v/>
      </c>
    </row>
    <row r="272">
      <c r="A272" t="inlineStr">
        <is>
          <t>Primer año</t>
        </is>
      </c>
      <c r="B272" t="inlineStr">
        <is>
          <t>Tercer periodo</t>
        </is>
      </c>
      <c r="C272" t="n">
        <v>118</v>
      </c>
      <c r="D272" t="n">
        <v>270</v>
      </c>
      <c r="E272" s="3" t="n">
        <v>45904</v>
      </c>
      <c r="F272" t="inlineStr">
        <is>
          <t>Punto de Acuerdo</t>
        </is>
      </c>
      <c r="G272" t="inlineStr">
        <is>
          <t>Acuerdo por el que se exhorta a la secretaría de movilidad y transporte del estado</t>
        </is>
      </c>
      <c r="H272" t="n">
        <v>11</v>
      </c>
      <c r="I272" t="inlineStr">
        <is>
          <t>Infraestructura, Movilidad y Transporte</t>
        </is>
      </c>
      <c r="J272" t="n">
        <v>9</v>
      </c>
      <c r="K272" t="n">
        <v>0</v>
      </c>
      <c r="L272" t="n">
        <v>0</v>
      </c>
      <c r="M272" t="n">
        <v>0</v>
      </c>
      <c r="N272">
        <f>SUM(J272:M272)</f>
        <v/>
      </c>
      <c r="O272" s="4">
        <f>SUM(J272:L272)/SUM(J272:M272)</f>
        <v/>
      </c>
      <c r="P272" s="5">
        <f>MAX(J272:L272)/SUM(J272:L272)</f>
        <v/>
      </c>
    </row>
    <row r="273">
      <c r="A273" t="inlineStr">
        <is>
          <t>Primer año</t>
        </is>
      </c>
      <c r="B273" t="inlineStr">
        <is>
          <t>Tercer periodo</t>
        </is>
      </c>
      <c r="C273" t="n">
        <v>119</v>
      </c>
      <c r="D273" t="n">
        <v>271</v>
      </c>
      <c r="E273" s="3" t="n">
        <v>45904</v>
      </c>
      <c r="F273" t="inlineStr">
        <is>
          <t>Punto de Acuerdo</t>
        </is>
      </c>
      <c r="G273" t="inlineStr">
        <is>
          <t>Acuerdo por el que se exhorta a la secretaría de movilidad y transportes del estado</t>
        </is>
      </c>
      <c r="H273" t="n">
        <v>11</v>
      </c>
      <c r="I273" t="inlineStr">
        <is>
          <t>Infraestructura, Movilidad y Transporte</t>
        </is>
      </c>
      <c r="J273" t="n">
        <v>9</v>
      </c>
      <c r="K273" t="n">
        <v>0</v>
      </c>
      <c r="L273" t="n">
        <v>0</v>
      </c>
      <c r="M273" t="n">
        <v>0</v>
      </c>
      <c r="N273">
        <f>SUM(J273:M273)</f>
        <v/>
      </c>
      <c r="O273" s="4">
        <f>SUM(J273:L273)/SUM(J273:M273)</f>
        <v/>
      </c>
      <c r="P273" s="5">
        <f>MAX(J273:L273)/SUM(J273:L273)</f>
        <v/>
      </c>
    </row>
    <row r="274">
      <c r="A274" t="inlineStr">
        <is>
          <t>Primer año</t>
        </is>
      </c>
      <c r="B274" t="inlineStr">
        <is>
          <t>Tercer periodo</t>
        </is>
      </c>
      <c r="C274" t="n">
        <v>120</v>
      </c>
      <c r="D274" t="n">
        <v>272</v>
      </c>
      <c r="E274" s="3" t="n">
        <v>45904</v>
      </c>
      <c r="F274" t="inlineStr">
        <is>
          <t>Punto de Acuerdo</t>
        </is>
      </c>
      <c r="G274" t="inlineStr">
        <is>
          <t>Acuerdo por el que se exhorta a los doscientos doce ayuntamientos y a los cinco concejos municipales del estado</t>
        </is>
      </c>
      <c r="H274" t="n">
        <v>11</v>
      </c>
      <c r="I274" t="inlineStr">
        <is>
          <t>Infraestructura, Movilidad y Transporte</t>
        </is>
      </c>
      <c r="J274" t="n">
        <v>9</v>
      </c>
      <c r="K274" t="n">
        <v>0</v>
      </c>
      <c r="L274" t="n">
        <v>0</v>
      </c>
      <c r="M274" t="n">
        <v>0</v>
      </c>
      <c r="N274">
        <f>SUM(J274:M274)</f>
        <v/>
      </c>
      <c r="O274" s="4">
        <f>SUM(J274:L274)/SUM(J274:M274)</f>
        <v/>
      </c>
      <c r="P274" s="5">
        <f>MAX(J274:L274)/SUM(J274:L274)</f>
        <v/>
      </c>
    </row>
    <row r="275">
      <c r="A275" t="inlineStr">
        <is>
          <t>Primer año</t>
        </is>
      </c>
      <c r="B275" t="inlineStr">
        <is>
          <t>Tercer periodo</t>
        </is>
      </c>
      <c r="C275" t="n">
        <v>121</v>
      </c>
      <c r="D275" t="n">
        <v>273</v>
      </c>
      <c r="E275" s="3" t="n">
        <v>45904</v>
      </c>
      <c r="F275" t="inlineStr">
        <is>
          <t>Punto de Acuerdo</t>
        </is>
      </c>
      <c r="G275" t="inlineStr">
        <is>
          <t>Acuerdo por el que se exhorta a los doscientos doce ayuntamientos y los cinco concejos municipales del estado</t>
        </is>
      </c>
      <c r="H275" t="n">
        <v>3</v>
      </c>
      <c r="I275" t="inlineStr">
        <is>
          <t>Seguridad Pública, Protección Civil y Narcotráfico</t>
        </is>
      </c>
      <c r="J275" t="n">
        <v>9</v>
      </c>
      <c r="K275" t="n">
        <v>0</v>
      </c>
      <c r="L275" t="n">
        <v>0</v>
      </c>
      <c r="M275" t="n">
        <v>0</v>
      </c>
      <c r="N275">
        <f>SUM(J275:M275)</f>
        <v/>
      </c>
      <c r="O275" s="4">
        <f>SUM(J275:L275)/SUM(J275:M275)</f>
        <v/>
      </c>
      <c r="P275" s="5">
        <f>MAX(J275:L275)/SUM(J275:L275)</f>
        <v/>
      </c>
    </row>
    <row r="276">
      <c r="A276" t="inlineStr">
        <is>
          <t>Primer año</t>
        </is>
      </c>
      <c r="B276" t="inlineStr">
        <is>
          <t>Tercer periodo</t>
        </is>
      </c>
      <c r="C276" t="n">
        <v>122</v>
      </c>
      <c r="D276" t="n">
        <v>274</v>
      </c>
      <c r="E276" s="3" t="n">
        <v>45904</v>
      </c>
      <c r="F276" t="inlineStr">
        <is>
          <t>Punto de Acuerdo</t>
        </is>
      </c>
      <c r="G276" t="inlineStr">
        <is>
          <t>Acuerdo por el que se exhorta a los sistemas municipales de protección civil de los doscientos doce ayuntamientos y los cinco concejos municipales del estado</t>
        </is>
      </c>
      <c r="H276" t="n">
        <v>3</v>
      </c>
      <c r="I276" t="inlineStr">
        <is>
          <t>Seguridad Pública, Protección Civil y Narcotráfico</t>
        </is>
      </c>
      <c r="J276" t="n">
        <v>9</v>
      </c>
      <c r="K276" t="n">
        <v>0</v>
      </c>
      <c r="L276" t="n">
        <v>0</v>
      </c>
      <c r="M276" t="n">
        <v>0</v>
      </c>
      <c r="N276">
        <f>SUM(J276:M276)</f>
        <v/>
      </c>
      <c r="O276" s="4">
        <f>SUM(J276:L276)/SUM(J276:M276)</f>
        <v/>
      </c>
      <c r="P276" s="5">
        <f>MAX(J276:L276)/SUM(J276:L276)</f>
        <v/>
      </c>
    </row>
    <row r="277">
      <c r="A277" t="inlineStr">
        <is>
          <t>Primer año</t>
        </is>
      </c>
      <c r="B277" t="inlineStr">
        <is>
          <t>Tercer periodo</t>
        </is>
      </c>
      <c r="C277" t="n">
        <v>123</v>
      </c>
      <c r="D277" t="n">
        <v>275</v>
      </c>
      <c r="E277" s="3" t="n">
        <v>45904</v>
      </c>
      <c r="F277" t="inlineStr">
        <is>
          <t>Punto de Acuerdo</t>
        </is>
      </c>
      <c r="G277" t="inlineStr">
        <is>
          <t>Acuerdo por el que se exhorta a los doscientos doce ayuntamientos y los cinco consejos municipales del estado</t>
        </is>
      </c>
      <c r="H277" t="n">
        <v>2</v>
      </c>
      <c r="I277" t="inlineStr">
        <is>
          <t>Pobreza y Política Social</t>
        </is>
      </c>
      <c r="J277" t="n">
        <v>9</v>
      </c>
      <c r="K277" t="n">
        <v>0</v>
      </c>
      <c r="L277" t="n">
        <v>0</v>
      </c>
      <c r="M277" t="n">
        <v>0</v>
      </c>
      <c r="N277">
        <f>SUM(J277:M277)</f>
        <v/>
      </c>
      <c r="O277" s="4">
        <f>SUM(J277:L277)/SUM(J277:M277)</f>
        <v/>
      </c>
      <c r="P277" s="5">
        <f>MAX(J277:L277)/SUM(J277:L277)</f>
        <v/>
      </c>
    </row>
    <row r="278">
      <c r="A278" t="inlineStr">
        <is>
          <t>Primer año</t>
        </is>
      </c>
      <c r="B278" t="inlineStr">
        <is>
          <t>Tercer periodo</t>
        </is>
      </c>
      <c r="C278" t="n">
        <v>124</v>
      </c>
      <c r="D278" t="n">
        <v>276</v>
      </c>
      <c r="E278" s="3" t="n">
        <v>45904</v>
      </c>
      <c r="F278" t="inlineStr">
        <is>
          <t>Punto de Acuerdo</t>
        </is>
      </c>
      <c r="G278" t="inlineStr">
        <is>
          <t>Acuerdo por el que se exhorta a los doscientos doce ayuntamientos y cinco concejos municipales del estado</t>
        </is>
      </c>
      <c r="H278" t="n">
        <v>11</v>
      </c>
      <c r="I278" t="inlineStr">
        <is>
          <t>Infraestructura, Movilidad y Transporte</t>
        </is>
      </c>
      <c r="J278" t="n">
        <v>9</v>
      </c>
      <c r="K278" t="n">
        <v>0</v>
      </c>
      <c r="L278" t="n">
        <v>0</v>
      </c>
      <c r="M278" t="n">
        <v>0</v>
      </c>
      <c r="N278">
        <f>SUM(J278:M278)</f>
        <v/>
      </c>
      <c r="O278" s="4">
        <f>SUM(J278:L278)/SUM(J278:M278)</f>
        <v/>
      </c>
      <c r="P278" s="5">
        <f>MAX(J278:L278)/SUM(J278:L278)</f>
        <v/>
      </c>
    </row>
    <row r="279">
      <c r="A279" t="inlineStr">
        <is>
          <t>Primer año</t>
        </is>
      </c>
      <c r="B279" t="inlineStr">
        <is>
          <t>Tercer periodo</t>
        </is>
      </c>
      <c r="C279" t="n">
        <v>125</v>
      </c>
      <c r="D279" t="n">
        <v>277</v>
      </c>
      <c r="E279" s="3" t="n">
        <v>45904</v>
      </c>
      <c r="F279" t="inlineStr">
        <is>
          <t>Punto de Acuerdo</t>
        </is>
      </c>
      <c r="G279" t="inlineStr">
        <is>
          <t>Acuerdo por el que se exhorta a los doscientos doce ayuntamientos y cinco concejos municipales del estado</t>
        </is>
      </c>
      <c r="H279" t="n">
        <v>10</v>
      </c>
      <c r="I279" t="inlineStr">
        <is>
          <t>Transparencia y Rendición de Cuentas</t>
        </is>
      </c>
      <c r="J279" t="n">
        <v>9</v>
      </c>
      <c r="K279" t="n">
        <v>0</v>
      </c>
      <c r="L279" t="n">
        <v>0</v>
      </c>
      <c r="M279" t="n">
        <v>0</v>
      </c>
      <c r="N279">
        <f>SUM(J279:M279)</f>
        <v/>
      </c>
      <c r="O279" s="4">
        <f>SUM(J279:L279)/SUM(J279:M279)</f>
        <v/>
      </c>
      <c r="P279" s="5">
        <f>MAX(J279:L279)/SUM(J279:L279)</f>
        <v/>
      </c>
    </row>
    <row r="280">
      <c r="A280" t="inlineStr">
        <is>
          <t>Primer año</t>
        </is>
      </c>
      <c r="B280" t="inlineStr">
        <is>
          <t>Tercer periodo</t>
        </is>
      </c>
      <c r="C280" t="n">
        <v>126</v>
      </c>
      <c r="D280" t="n">
        <v>278</v>
      </c>
      <c r="E280" s="3" t="n">
        <v>45904</v>
      </c>
      <c r="F280" t="inlineStr">
        <is>
          <t>Punto de Acuerdo</t>
        </is>
      </c>
      <c r="G280" t="inlineStr">
        <is>
          <t>Acuerdo por el que se exhorta a los doscientos doce ayuntamientos y cinco concejos municipales del estado</t>
        </is>
      </c>
      <c r="H280" t="n">
        <v>20</v>
      </c>
      <c r="I280" t="inlineStr">
        <is>
          <t>Justicia y Estado de Derecho en temas de Mujeres</t>
        </is>
      </c>
      <c r="J280" t="n">
        <v>9</v>
      </c>
      <c r="K280" t="n">
        <v>0</v>
      </c>
      <c r="L280" t="n">
        <v>0</v>
      </c>
      <c r="M280" t="n">
        <v>0</v>
      </c>
      <c r="N280">
        <f>SUM(J280:M280)</f>
        <v/>
      </c>
      <c r="O280" s="4">
        <f>SUM(J280:L280)/SUM(J280:M280)</f>
        <v/>
      </c>
      <c r="P280" s="5">
        <f>MAX(J280:L280)/SUM(J280:L280)</f>
        <v/>
      </c>
    </row>
    <row r="281">
      <c r="A281" t="inlineStr">
        <is>
          <t>Primer año</t>
        </is>
      </c>
      <c r="B281" t="inlineStr">
        <is>
          <t>Tercer periodo</t>
        </is>
      </c>
      <c r="C281" t="n">
        <v>127</v>
      </c>
      <c r="D281" t="n">
        <v>279</v>
      </c>
      <c r="E281" s="3" t="n">
        <v>45904</v>
      </c>
      <c r="F281" t="inlineStr">
        <is>
          <t>Punto de Acuerdo</t>
        </is>
      </c>
      <c r="G281" t="inlineStr">
        <is>
          <t>Acuerdo por el que se exhorta a los doscientos doce ayuntamientos y cinco concejos municipales de la entidad</t>
        </is>
      </c>
      <c r="H281" t="n">
        <v>20</v>
      </c>
      <c r="I281" t="inlineStr">
        <is>
          <t>Justicia y Estado de Derecho en temas de Mujeres</t>
        </is>
      </c>
      <c r="J281" t="n">
        <v>9</v>
      </c>
      <c r="K281" t="n">
        <v>0</v>
      </c>
      <c r="L281" t="n">
        <v>0</v>
      </c>
      <c r="M281" t="n">
        <v>0</v>
      </c>
      <c r="N281">
        <f>SUM(J281:M281)</f>
        <v/>
      </c>
      <c r="O281" s="4">
        <f>SUM(J281:L281)/SUM(J281:M281)</f>
        <v/>
      </c>
      <c r="P281" s="5">
        <f>MAX(J281:L281)/SUM(J281:L281)</f>
        <v/>
      </c>
    </row>
    <row r="282">
      <c r="A282" t="inlineStr">
        <is>
          <t>Primer año</t>
        </is>
      </c>
      <c r="B282" t="inlineStr">
        <is>
          <t>Tercer periodo</t>
        </is>
      </c>
      <c r="C282" t="n">
        <v>128</v>
      </c>
      <c r="D282" t="n">
        <v>280</v>
      </c>
      <c r="E282" s="3" t="n">
        <v>45904</v>
      </c>
      <c r="F282" t="inlineStr">
        <is>
          <t>Punto de Acuerdo</t>
        </is>
      </c>
      <c r="G282" t="inlineStr">
        <is>
          <t>Acuerdo por el que se exhorta a la comisión de derechos humanos y a la secretaría de las mujeres, ambas del estado</t>
        </is>
      </c>
      <c r="H282" t="n">
        <v>20</v>
      </c>
      <c r="I282" t="inlineStr">
        <is>
          <t>Justicia y Estado de Derecho en temas de Mujeres</t>
        </is>
      </c>
      <c r="J282" t="n">
        <v>9</v>
      </c>
      <c r="K282" t="n">
        <v>0</v>
      </c>
      <c r="L282" t="n">
        <v>0</v>
      </c>
      <c r="M282" t="n">
        <v>0</v>
      </c>
      <c r="N282">
        <f>SUM(J282:M282)</f>
        <v/>
      </c>
      <c r="O282" s="4">
        <f>SUM(J282:L282)/SUM(J282:M282)</f>
        <v/>
      </c>
      <c r="P282" s="5">
        <f>MAX(J282:L282)/SUM(J282:L282)</f>
        <v/>
      </c>
    </row>
    <row r="283">
      <c r="A283" t="inlineStr">
        <is>
          <t>Primer año</t>
        </is>
      </c>
      <c r="B283" t="inlineStr">
        <is>
          <t>Tercer periodo</t>
        </is>
      </c>
      <c r="C283" t="n">
        <v>129</v>
      </c>
      <c r="D283" t="n">
        <v>281</v>
      </c>
      <c r="E283" s="3" t="n">
        <v>45904</v>
      </c>
      <c r="F283" t="inlineStr">
        <is>
          <t>Punto de Acuerdo</t>
        </is>
      </c>
      <c r="G283" t="inlineStr">
        <is>
          <t>Acuerdo por el que se exhorta a la secretaría de seguridad pública del estado</t>
        </is>
      </c>
      <c r="H283" t="n">
        <v>3</v>
      </c>
      <c r="I283" t="inlineStr">
        <is>
          <t>Seguridad Pública, Protección Civil y Narcotráfico</t>
        </is>
      </c>
      <c r="J283" t="n">
        <v>9</v>
      </c>
      <c r="K283" t="n">
        <v>0</v>
      </c>
      <c r="L283" t="n">
        <v>0</v>
      </c>
      <c r="M283" t="n">
        <v>0</v>
      </c>
      <c r="N283">
        <f>SUM(J283:M283)</f>
        <v/>
      </c>
      <c r="O283" s="4">
        <f>SUM(J283:L283)/SUM(J283:M283)</f>
        <v/>
      </c>
      <c r="P283" s="5">
        <f>MAX(J283:L283)/SUM(J283:L283)</f>
        <v/>
      </c>
    </row>
    <row r="284">
      <c r="A284" t="inlineStr">
        <is>
          <t>Primer año</t>
        </is>
      </c>
      <c r="B284" t="inlineStr">
        <is>
          <t>Tercer periodo</t>
        </is>
      </c>
      <c r="C284" t="n">
        <v>130</v>
      </c>
      <c r="D284" t="n">
        <v>282</v>
      </c>
      <c r="E284" s="3" t="n">
        <v>45904</v>
      </c>
      <c r="F284" t="inlineStr">
        <is>
          <t>Punto de Acuerdo</t>
        </is>
      </c>
      <c r="G284" t="inlineStr">
        <is>
          <t>Acuerdo por el que se exhorta a los doscientos doce ayuntamientos y cinco concejos municipales del estado</t>
        </is>
      </c>
      <c r="H284" t="n">
        <v>3</v>
      </c>
      <c r="I284" t="inlineStr">
        <is>
          <t>Seguridad Pública, Protección Civil y Narcotráfico</t>
        </is>
      </c>
      <c r="J284" t="n">
        <v>9</v>
      </c>
      <c r="K284" t="n">
        <v>0</v>
      </c>
      <c r="L284" t="n">
        <v>0</v>
      </c>
      <c r="M284" t="n">
        <v>0</v>
      </c>
      <c r="N284">
        <f>SUM(J284:M284)</f>
        <v/>
      </c>
      <c r="O284" s="4">
        <f>SUM(J284:L284)/SUM(J284:M284)</f>
        <v/>
      </c>
      <c r="P284" s="5">
        <f>MAX(J284:L284)/SUM(J284:L284)</f>
        <v/>
      </c>
    </row>
    <row r="285">
      <c r="A285" t="inlineStr">
        <is>
          <t>Primer año</t>
        </is>
      </c>
      <c r="B285" t="inlineStr">
        <is>
          <t>Tercer periodo</t>
        </is>
      </c>
      <c r="C285" t="n">
        <v>131</v>
      </c>
      <c r="D285" t="n">
        <v>283</v>
      </c>
      <c r="E285" s="3" t="n">
        <v>45904</v>
      </c>
      <c r="F285" t="inlineStr">
        <is>
          <t>Punto de Acuerdo</t>
        </is>
      </c>
      <c r="G285" t="inlineStr">
        <is>
          <t>Acuerdo por el que se exhorta a la secretaría de seguridad pública del estado</t>
        </is>
      </c>
      <c r="H285" t="n">
        <v>3</v>
      </c>
      <c r="I285" t="inlineStr">
        <is>
          <t>Seguridad Pública, Protección Civil y Narcotráfico</t>
        </is>
      </c>
      <c r="J285" t="n">
        <v>9</v>
      </c>
      <c r="K285" t="n">
        <v>0</v>
      </c>
      <c r="L285" t="n">
        <v>0</v>
      </c>
      <c r="M285" t="n">
        <v>0</v>
      </c>
      <c r="N285">
        <f>SUM(J285:M285)</f>
        <v/>
      </c>
      <c r="O285" s="4">
        <f>SUM(J285:L285)/SUM(J285:M285)</f>
        <v/>
      </c>
      <c r="P285" s="5">
        <f>MAX(J285:L285)/SUM(J285:L285)</f>
        <v/>
      </c>
    </row>
    <row r="286">
      <c r="A286" t="inlineStr">
        <is>
          <t>Primer año</t>
        </is>
      </c>
      <c r="B286" t="inlineStr">
        <is>
          <t>Tercer periodo</t>
        </is>
      </c>
      <c r="C286" t="n">
        <v>132</v>
      </c>
      <c r="D286" t="n">
        <v>284</v>
      </c>
      <c r="E286" s="3" t="n">
        <v>45904</v>
      </c>
      <c r="F286" t="inlineStr">
        <is>
          <t>Punto de Acuerdo</t>
        </is>
      </c>
      <c r="G286" t="inlineStr">
        <is>
          <t>Acuerdo por el que se exhorta a la secretaría de seguridad pública del estado de</t>
        </is>
      </c>
      <c r="H286" t="n">
        <v>3</v>
      </c>
      <c r="I286" t="inlineStr">
        <is>
          <t>Seguridad Pública, Protección Civil y Narcotráfico</t>
        </is>
      </c>
      <c r="J286" t="n">
        <v>9</v>
      </c>
      <c r="K286" t="n">
        <v>0</v>
      </c>
      <c r="L286" t="n">
        <v>0</v>
      </c>
      <c r="M286" t="n">
        <v>0</v>
      </c>
      <c r="N286">
        <f>SUM(J286:M286)</f>
        <v/>
      </c>
      <c r="O286" s="4">
        <f>SUM(J286:L286)/SUM(J286:M286)</f>
        <v/>
      </c>
      <c r="P286" s="5">
        <f>MAX(J286:L286)/SUM(J286:L286)</f>
        <v/>
      </c>
    </row>
    <row r="287">
      <c r="A287" t="inlineStr">
        <is>
          <t>Primer año</t>
        </is>
      </c>
      <c r="B287" t="inlineStr">
        <is>
          <t>Tercer periodo</t>
        </is>
      </c>
      <c r="C287" t="n">
        <v>133</v>
      </c>
      <c r="D287" t="n">
        <v>285</v>
      </c>
      <c r="E287" s="3" t="n">
        <v>45904</v>
      </c>
      <c r="F287" t="inlineStr">
        <is>
          <t>Punto de Acuerdo</t>
        </is>
      </c>
      <c r="G287" t="inlineStr">
        <is>
          <t>Acuerdo por el que se exhorta a la secretaría de infraestructura del estado</t>
        </is>
      </c>
      <c r="H287" t="n">
        <v>11</v>
      </c>
      <c r="I287" t="inlineStr">
        <is>
          <t>Infraestructura, Movilidad y Transporte</t>
        </is>
      </c>
      <c r="J287" t="n">
        <v>9</v>
      </c>
      <c r="K287" t="n">
        <v>0</v>
      </c>
      <c r="L287" t="n">
        <v>0</v>
      </c>
      <c r="M287" t="n">
        <v>0</v>
      </c>
      <c r="N287">
        <f>SUM(J287:M287)</f>
        <v/>
      </c>
      <c r="O287" s="4">
        <f>SUM(J287:L287)/SUM(J287:M287)</f>
        <v/>
      </c>
      <c r="P287" s="5">
        <f>MAX(J287:L287)/SUM(J287:L287)</f>
        <v/>
      </c>
    </row>
    <row r="288">
      <c r="A288" t="inlineStr">
        <is>
          <t>Primer año</t>
        </is>
      </c>
      <c r="B288" t="inlineStr">
        <is>
          <t>Tercer periodo</t>
        </is>
      </c>
      <c r="C288" t="n">
        <v>134</v>
      </c>
      <c r="D288" t="n">
        <v>286</v>
      </c>
      <c r="E288" s="3" t="n">
        <v>45904</v>
      </c>
      <c r="F288" t="inlineStr">
        <is>
          <t>Punto de Acuerdo</t>
        </is>
      </c>
      <c r="G288" t="inlineStr">
        <is>
          <t>Acuerdo por el que se exhorta a los doscientos doce ayuntamientos y cinco concejos municipales del estado</t>
        </is>
      </c>
      <c r="H288" t="n">
        <v>5</v>
      </c>
      <c r="I288" t="inlineStr">
        <is>
          <t>Medio Ambiente</t>
        </is>
      </c>
      <c r="J288" t="n">
        <v>9</v>
      </c>
      <c r="K288" t="n">
        <v>0</v>
      </c>
      <c r="L288" t="n">
        <v>0</v>
      </c>
      <c r="M288" t="n">
        <v>0</v>
      </c>
      <c r="N288">
        <f>SUM(J288:M288)</f>
        <v/>
      </c>
      <c r="O288" s="4">
        <f>SUM(J288:L288)/SUM(J288:M288)</f>
        <v/>
      </c>
      <c r="P288" s="5">
        <f>MAX(J288:L288)/SUM(J288:L288)</f>
        <v/>
      </c>
    </row>
    <row r="289">
      <c r="A289" t="inlineStr">
        <is>
          <t>Primer año</t>
        </is>
      </c>
      <c r="B289" t="inlineStr">
        <is>
          <t>Tercer periodo</t>
        </is>
      </c>
      <c r="C289" t="n">
        <v>135</v>
      </c>
      <c r="D289" t="n">
        <v>287</v>
      </c>
      <c r="E289" s="3" t="n">
        <v>45904</v>
      </c>
      <c r="F289" t="inlineStr">
        <is>
          <t>Punto de Acuerdo</t>
        </is>
      </c>
      <c r="G289" t="inlineStr">
        <is>
          <t>Acuerdo por el que se exhorta al instituto especializado de la defensoría pública del estado de</t>
        </is>
      </c>
      <c r="H289" t="n">
        <v>20</v>
      </c>
      <c r="I289" t="inlineStr">
        <is>
          <t>Justicia y Estado de Derecho en temas de Mujeres</t>
        </is>
      </c>
      <c r="J289" t="n">
        <v>9</v>
      </c>
      <c r="K289" t="n">
        <v>0</v>
      </c>
      <c r="L289" t="n">
        <v>0</v>
      </c>
      <c r="M289" t="n">
        <v>0</v>
      </c>
      <c r="N289">
        <f>SUM(J289:M289)</f>
        <v/>
      </c>
      <c r="O289" s="4">
        <f>SUM(J289:L289)/SUM(J289:M289)</f>
        <v/>
      </c>
      <c r="P289" s="5">
        <f>MAX(J289:L289)/SUM(J289:L289)</f>
        <v/>
      </c>
    </row>
    <row r="290">
      <c r="A290" t="inlineStr">
        <is>
          <t>Primer año</t>
        </is>
      </c>
      <c r="B290" t="inlineStr">
        <is>
          <t>Tercer periodo</t>
        </is>
      </c>
      <c r="C290" t="n">
        <v>136</v>
      </c>
      <c r="D290" t="n">
        <v>288</v>
      </c>
      <c r="E290" s="3" t="n">
        <v>45904</v>
      </c>
      <c r="F290" t="inlineStr">
        <is>
          <t>Punto de Acuerdo</t>
        </is>
      </c>
      <c r="G290" t="inlineStr">
        <is>
          <t>Acuerdo por el que se exhorta a la fiscalía general del estado de</t>
        </is>
      </c>
      <c r="H290" t="n">
        <v>14</v>
      </c>
      <c r="I290" t="inlineStr">
        <is>
          <t>Justicia y Estado de Derecho</t>
        </is>
      </c>
      <c r="J290" t="n">
        <v>9</v>
      </c>
      <c r="K290" t="n">
        <v>0</v>
      </c>
      <c r="L290" t="n">
        <v>0</v>
      </c>
      <c r="M290" t="n">
        <v>0</v>
      </c>
      <c r="N290">
        <f>SUM(J290:M290)</f>
        <v/>
      </c>
      <c r="O290" s="4">
        <f>SUM(J290:L290)/SUM(J290:M290)</f>
        <v/>
      </c>
      <c r="P290" s="5">
        <f>MAX(J290:L290)/SUM(J290:L290)</f>
        <v/>
      </c>
    </row>
    <row r="291">
      <c r="A291" t="inlineStr">
        <is>
          <t>Primer año</t>
        </is>
      </c>
      <c r="B291" t="inlineStr">
        <is>
          <t>Tercer periodo</t>
        </is>
      </c>
      <c r="C291" t="n">
        <v>137</v>
      </c>
      <c r="D291" t="n">
        <v>289</v>
      </c>
      <c r="E291" s="3" t="n">
        <v>45904</v>
      </c>
      <c r="F291" t="inlineStr">
        <is>
          <t>Punto de Acuerdo</t>
        </is>
      </c>
      <c r="G291" t="inlineStr">
        <is>
          <t>Acuerdo por el que se exhorta a la fiscalía general del estado de</t>
        </is>
      </c>
      <c r="H291" t="n">
        <v>14</v>
      </c>
      <c r="I291" t="inlineStr">
        <is>
          <t>Justicia y Estado de Derecho</t>
        </is>
      </c>
      <c r="J291" t="n">
        <v>9</v>
      </c>
      <c r="K291" t="n">
        <v>0</v>
      </c>
      <c r="L291" t="n">
        <v>0</v>
      </c>
      <c r="M291" t="n">
        <v>0</v>
      </c>
      <c r="N291">
        <f>SUM(J291:M291)</f>
        <v/>
      </c>
      <c r="O291" s="4">
        <f>SUM(J291:L291)/SUM(J291:M291)</f>
        <v/>
      </c>
      <c r="P291" s="5">
        <f>MAX(J291:L291)/SUM(J291:L291)</f>
        <v/>
      </c>
    </row>
    <row r="292">
      <c r="A292" t="inlineStr">
        <is>
          <t>Primer año</t>
        </is>
      </c>
      <c r="B292" t="inlineStr">
        <is>
          <t>Tercer periodo</t>
        </is>
      </c>
      <c r="C292" t="n">
        <v>138</v>
      </c>
      <c r="D292" t="n">
        <v>290</v>
      </c>
      <c r="E292" s="3" t="n">
        <v>45910</v>
      </c>
      <c r="F292" t="inlineStr">
        <is>
          <t>Punto de Acuerdo</t>
        </is>
      </c>
      <c r="G292" t="inlineStr">
        <is>
          <t>Acuerdo por el cual se convoca a una sesión extraordinaria</t>
        </is>
      </c>
      <c r="H292" t="n">
        <v>19</v>
      </c>
      <c r="I292" t="inlineStr">
        <is>
          <t>Internos del Congreso</t>
        </is>
      </c>
      <c r="J292" t="n">
        <v>8</v>
      </c>
      <c r="K292" t="n">
        <v>0</v>
      </c>
      <c r="L292" t="n">
        <v>0</v>
      </c>
      <c r="M292" t="n">
        <v>0</v>
      </c>
      <c r="N292">
        <f>SUM(J292:M292)</f>
        <v/>
      </c>
      <c r="O292" s="4">
        <f>SUM(J292:L292)/SUM(J292:M292)</f>
        <v/>
      </c>
      <c r="P292" s="5">
        <f>MAX(J292:L292)/SUM(J292:L292)</f>
        <v/>
      </c>
    </row>
    <row r="293">
      <c r="A293" t="inlineStr">
        <is>
          <t>Primer año</t>
        </is>
      </c>
      <c r="B293" t="inlineStr">
        <is>
          <t>Tercer periodo</t>
        </is>
      </c>
      <c r="C293" t="n">
        <v>139</v>
      </c>
      <c r="D293" t="n">
        <v>291</v>
      </c>
      <c r="E293" s="3" t="n">
        <v>45910</v>
      </c>
      <c r="F293" t="inlineStr">
        <is>
          <t>Punto de Acuerdo</t>
        </is>
      </c>
      <c r="G293" t="inlineStr">
        <is>
          <t>Acuerdo por el cual se exhorta al ayuntamiento de para que, en el ámbito de su competencia y en coordinación con la secretaría de agricultura y desarrollo rural del estado, diseñe, implemente o, en su caso, gestione programas de apoyo para el sector agrícola</t>
        </is>
      </c>
      <c r="H293" t="n">
        <v>12</v>
      </c>
      <c r="I293" t="inlineStr">
        <is>
          <t>Agricultura, Ganadería y Pesca</t>
        </is>
      </c>
      <c r="J293" t="n">
        <v>8</v>
      </c>
      <c r="K293" t="n">
        <v>0</v>
      </c>
      <c r="L293" t="n">
        <v>0</v>
      </c>
      <c r="M293" t="n">
        <v>0</v>
      </c>
      <c r="N293">
        <f>SUM(J293:M293)</f>
        <v/>
      </c>
      <c r="O293" s="4">
        <f>SUM(J293:L293)/SUM(J293:M293)</f>
        <v/>
      </c>
      <c r="P293" s="5">
        <f>MAX(J293:L293)/SUM(J293:L293)</f>
        <v/>
      </c>
    </row>
    <row r="294">
      <c r="A294" t="inlineStr">
        <is>
          <t>Primer año</t>
        </is>
      </c>
      <c r="B294" t="inlineStr">
        <is>
          <t>Tercer periodo</t>
        </is>
      </c>
      <c r="C294" t="n">
        <v>140</v>
      </c>
      <c r="D294" t="n">
        <v>292</v>
      </c>
      <c r="E294" s="3" t="n">
        <v>45911</v>
      </c>
      <c r="F294" t="inlineStr">
        <is>
          <t>Punto de Acuerdo</t>
        </is>
      </c>
      <c r="G294" t="inlineStr">
        <is>
          <t>Acuerdo por el cual la propuesta modificatoria presentada por las y los diputados integrantes de la Junta de Gobierno y Coordinación Política</t>
        </is>
      </c>
      <c r="H294" t="n">
        <v>19</v>
      </c>
      <c r="I294" t="inlineStr">
        <is>
          <t>Internos del Congreso</t>
        </is>
      </c>
      <c r="J294" t="n">
        <v>33</v>
      </c>
      <c r="K294" t="n">
        <v>0</v>
      </c>
      <c r="L294" t="n">
        <v>1</v>
      </c>
      <c r="M294" t="n">
        <v>7</v>
      </c>
      <c r="N294">
        <f>SUM(J294:M294)</f>
        <v/>
      </c>
      <c r="O294" s="4">
        <f>SUM(J294:L294)/SUM(J294:M294)</f>
        <v/>
      </c>
      <c r="P294" s="5">
        <f>MAX(J294:L294)/SUM(J294:L294)</f>
        <v/>
      </c>
    </row>
    <row r="295">
      <c r="A295" t="inlineStr">
        <is>
          <t>Primer año</t>
        </is>
      </c>
      <c r="B295" t="inlineStr">
        <is>
          <t>Tercer periodo</t>
        </is>
      </c>
      <c r="C295" t="n">
        <v>141</v>
      </c>
      <c r="D295" t="n">
        <v>293</v>
      </c>
      <c r="E295" s="3" t="n">
        <v>45911</v>
      </c>
      <c r="F295" t="inlineStr">
        <is>
          <t>Punto de Acuerdo</t>
        </is>
      </c>
      <c r="G295" t="inlineStr">
        <is>
          <t>Acuerdo por el cual el acuerdo para integrar la primera mesa directiva del segundo año de ejercicio legal</t>
        </is>
      </c>
      <c r="H295" t="n">
        <v>19</v>
      </c>
      <c r="I295" t="inlineStr">
        <is>
          <t>Internos del Congreso</t>
        </is>
      </c>
      <c r="J295" t="n">
        <v>32</v>
      </c>
      <c r="K295" t="n">
        <v>0</v>
      </c>
      <c r="L295" t="n">
        <v>2</v>
      </c>
      <c r="M295" t="n">
        <v>7</v>
      </c>
      <c r="N295">
        <f>SUM(J295:M295)</f>
        <v/>
      </c>
      <c r="O295" s="4">
        <f>SUM(J295:L295)/SUM(J295:M295)</f>
        <v/>
      </c>
      <c r="P295" s="5">
        <f>MAX(J295:L295)/SUM(J295:L295)</f>
        <v/>
      </c>
    </row>
    <row r="296">
      <c r="A296" t="inlineStr">
        <is>
          <t>Segundo año</t>
        </is>
      </c>
      <c r="B296" t="inlineStr">
        <is>
          <t>Primer periodo</t>
        </is>
      </c>
      <c r="C296" t="n">
        <v>1</v>
      </c>
      <c r="D296" t="n">
        <v>294</v>
      </c>
      <c r="E296" s="3" t="n">
        <v>45915</v>
      </c>
      <c r="F296" t="inlineStr">
        <is>
          <t>Iniciativa</t>
        </is>
      </c>
      <c r="G296" t="inlineStr">
        <is>
          <t>Dictamen con minuta de decreto por el cual se reforman diversas disposiciones de la Ley Orgánica del Poder Legislativo del Estado Libre y Soberano y del Reglamento Interior del Honorable Congreso del Estado Libre y Soberano</t>
        </is>
      </c>
      <c r="H296" t="n">
        <v>18</v>
      </c>
      <c r="I296" t="inlineStr">
        <is>
          <t>Administración Pública</t>
        </is>
      </c>
      <c r="J296" t="n">
        <v>39</v>
      </c>
      <c r="K296" t="n">
        <v>0</v>
      </c>
      <c r="L296" t="n">
        <v>0</v>
      </c>
      <c r="M296" t="n">
        <v>2</v>
      </c>
      <c r="N296">
        <f>SUM(J296:M296)</f>
        <v/>
      </c>
      <c r="O296" s="4">
        <f>SUM(J296:L296)/SUM(J296:M296)</f>
        <v/>
      </c>
      <c r="P296" s="5">
        <f>MAX(J296:L296)/SUM(J296:L296)</f>
        <v/>
      </c>
    </row>
    <row r="297">
      <c r="A297" t="inlineStr">
        <is>
          <t>Segundo año</t>
        </is>
      </c>
      <c r="B297" t="inlineStr">
        <is>
          <t>Primer periodo</t>
        </is>
      </c>
      <c r="C297" t="n">
        <v>2</v>
      </c>
      <c r="D297" t="n">
        <v>295</v>
      </c>
      <c r="E297" s="3" t="n">
        <v>45915</v>
      </c>
      <c r="F297" t="inlineStr">
        <is>
          <t>Iniciativa</t>
        </is>
      </c>
      <c r="G297" t="inlineStr">
        <is>
          <t>Dictamen con minuta de decreto por el cual se reforma el artículo 90 de la Ley de Transporte del Estado de</t>
        </is>
      </c>
      <c r="H297" t="n">
        <v>11</v>
      </c>
      <c r="I297" t="inlineStr">
        <is>
          <t>Infraestructura, Movilidad y Transporte</t>
        </is>
      </c>
      <c r="J297" t="n">
        <v>39</v>
      </c>
      <c r="K297" t="n">
        <v>0</v>
      </c>
      <c r="L297" t="n">
        <v>0</v>
      </c>
      <c r="M297" t="n">
        <v>2</v>
      </c>
      <c r="N297">
        <f>SUM(J297:M297)</f>
        <v/>
      </c>
      <c r="O297" s="4">
        <f>SUM(J297:L297)/SUM(J297:M297)</f>
        <v/>
      </c>
      <c r="P297" s="5">
        <f>MAX(J297:L297)/SUM(J297:L297)</f>
        <v/>
      </c>
    </row>
    <row r="298">
      <c r="A298" t="inlineStr">
        <is>
          <t>Segundo año</t>
        </is>
      </c>
      <c r="B298" t="inlineStr">
        <is>
          <t>Primer periodo</t>
        </is>
      </c>
      <c r="C298" t="n">
        <v>3</v>
      </c>
      <c r="D298" t="n">
        <v>296</v>
      </c>
      <c r="E298" s="3" t="n">
        <v>45915</v>
      </c>
      <c r="F298" t="inlineStr">
        <is>
          <t>Iniciativa</t>
        </is>
      </c>
      <c r="G298" t="inlineStr">
        <is>
          <t>Dictamen con minuta de decreto por el cual se reforma la fracción I del artículo 2, la fracción I del apartado A del artículo 4 y el primer párrafo del artículo 8 de la Ley Estatal de Salud</t>
        </is>
      </c>
      <c r="H298" t="n">
        <v>6</v>
      </c>
      <c r="I298" t="inlineStr">
        <is>
          <t>Salud</t>
        </is>
      </c>
      <c r="J298" t="n">
        <v>37</v>
      </c>
      <c r="K298" t="n">
        <v>0</v>
      </c>
      <c r="L298" t="n">
        <v>2</v>
      </c>
      <c r="M298" t="n">
        <v>2</v>
      </c>
      <c r="N298">
        <f>SUM(J298:M298)</f>
        <v/>
      </c>
      <c r="O298" s="4">
        <f>SUM(J298:L298)/SUM(J298:M298)</f>
        <v/>
      </c>
      <c r="P298" s="5">
        <f>MAX(J298:L298)/SUM(J298:L298)</f>
        <v/>
      </c>
    </row>
    <row r="299">
      <c r="A299" t="inlineStr">
        <is>
          <t>Segundo año</t>
        </is>
      </c>
      <c r="B299" t="inlineStr">
        <is>
          <t>Primer periodo</t>
        </is>
      </c>
      <c r="C299" t="n">
        <v>4</v>
      </c>
      <c r="D299" t="n">
        <v>297</v>
      </c>
      <c r="E299" s="3" t="n">
        <v>45915</v>
      </c>
      <c r="F299" t="inlineStr">
        <is>
          <t>Iniciativa</t>
        </is>
      </c>
      <c r="G299" t="inlineStr">
        <is>
          <t>Dictamen con minuta de decreto por el cual se adiciona el artículo 157 bis a la Ley Estatal de Salud</t>
        </is>
      </c>
      <c r="H299" t="n">
        <v>6</v>
      </c>
      <c r="I299" t="inlineStr">
        <is>
          <t>Salud</t>
        </is>
      </c>
      <c r="J299" t="n">
        <v>39</v>
      </c>
      <c r="K299" t="n">
        <v>0</v>
      </c>
      <c r="L299" t="n">
        <v>0</v>
      </c>
      <c r="M299" t="n">
        <v>2</v>
      </c>
      <c r="N299">
        <f>SUM(J299:M299)</f>
        <v/>
      </c>
      <c r="O299" s="4">
        <f>SUM(J299:L299)/SUM(J299:M299)</f>
        <v/>
      </c>
      <c r="P299" s="5">
        <f>MAX(J299:L299)/SUM(J299:L299)</f>
        <v/>
      </c>
    </row>
    <row r="300">
      <c r="A300" t="inlineStr">
        <is>
          <t>Segundo año</t>
        </is>
      </c>
      <c r="B300" t="inlineStr">
        <is>
          <t>Primer periodo</t>
        </is>
      </c>
      <c r="C300" t="n">
        <v>5</v>
      </c>
      <c r="D300" t="n">
        <v>298</v>
      </c>
      <c r="E300" s="3" t="n">
        <v>45915</v>
      </c>
      <c r="F300" t="inlineStr">
        <is>
          <t>Iniciativa</t>
        </is>
      </c>
      <c r="G300" t="inlineStr">
        <is>
          <t>Dictamen con minuta de decreto por el cual se reforman y adicionan diversas disposiciones de la Ley Estatal de Salud; y de la Ley para Prevenir y Eliminar la Discriminación del Estado Libre y Soberano</t>
        </is>
      </c>
      <c r="H300" t="n">
        <v>6</v>
      </c>
      <c r="I300" t="inlineStr">
        <is>
          <t>Salud</t>
        </is>
      </c>
      <c r="J300" t="n">
        <v>39</v>
      </c>
      <c r="K300" t="n">
        <v>0</v>
      </c>
      <c r="L300" t="n">
        <v>0</v>
      </c>
      <c r="M300" t="n">
        <v>2</v>
      </c>
      <c r="N300">
        <f>SUM(J300:M300)</f>
        <v/>
      </c>
      <c r="O300" s="4">
        <f>SUM(J300:L300)/SUM(J300:M300)</f>
        <v/>
      </c>
      <c r="P300" s="5">
        <f>MAX(J300:L300)/SUM(J300:L300)</f>
        <v/>
      </c>
    </row>
    <row r="301">
      <c r="A301" t="inlineStr">
        <is>
          <t>Segundo año</t>
        </is>
      </c>
      <c r="B301" t="inlineStr">
        <is>
          <t>Primer periodo</t>
        </is>
      </c>
      <c r="C301" t="n">
        <v>6</v>
      </c>
      <c r="D301" t="n">
        <v>299</v>
      </c>
      <c r="E301" s="3" t="n">
        <v>45915</v>
      </c>
      <c r="F301" t="inlineStr">
        <is>
          <t>Iniciativa</t>
        </is>
      </c>
      <c r="G301" t="inlineStr">
        <is>
          <t>Dictamen con minuta de decreto por el cual se reforman las fracciones III, IV, VI, VII, VIII y IX del artículo 96 y el 98 bis; y se adicionan las fracciones X y XI al artículo 96 de la Ley Orgánica Municipal</t>
        </is>
      </c>
      <c r="H301" t="n">
        <v>18</v>
      </c>
      <c r="I301" t="inlineStr">
        <is>
          <t>Administración Pública</t>
        </is>
      </c>
      <c r="J301" t="n">
        <v>39</v>
      </c>
      <c r="K301" t="n">
        <v>0</v>
      </c>
      <c r="L301" t="n">
        <v>0</v>
      </c>
      <c r="M301" t="n">
        <v>2</v>
      </c>
      <c r="N301">
        <f>SUM(J301:M301)</f>
        <v/>
      </c>
      <c r="O301" s="4">
        <f>SUM(J301:L301)/SUM(J301:M301)</f>
        <v/>
      </c>
      <c r="P301" s="5">
        <f>MAX(J301:L301)/SUM(J301:L301)</f>
        <v/>
      </c>
    </row>
    <row r="302">
      <c r="A302" t="inlineStr">
        <is>
          <t>Segundo año</t>
        </is>
      </c>
      <c r="B302" t="inlineStr">
        <is>
          <t>Primer periodo</t>
        </is>
      </c>
      <c r="C302" t="n">
        <v>7</v>
      </c>
      <c r="D302" t="n">
        <v>300</v>
      </c>
      <c r="E302" s="3" t="n">
        <v>45915</v>
      </c>
      <c r="F302" t="inlineStr">
        <is>
          <t>Iniciativa</t>
        </is>
      </c>
      <c r="G302" t="inlineStr">
        <is>
          <t>Dictamen con minuta de decreto por el cual se reforman las fracciones XLII y XLIII del artículo 16, el artículo 110, el inciso a) de la fracción I del 130, y la fracción II del 132; y se adicionan la fracción XXIV bis al artículo 3 y la XLIV al 16 de la Ley de Ordenamiento Territorial y Desarrollo Urbano del Estado</t>
        </is>
      </c>
      <c r="H302" t="n">
        <v>18</v>
      </c>
      <c r="I302" t="inlineStr">
        <is>
          <t>Administración Pública</t>
        </is>
      </c>
      <c r="J302" t="n">
        <v>39</v>
      </c>
      <c r="K302" t="n">
        <v>0</v>
      </c>
      <c r="L302" t="n">
        <v>0</v>
      </c>
      <c r="M302" t="n">
        <v>2</v>
      </c>
      <c r="N302">
        <f>SUM(J302:M302)</f>
        <v/>
      </c>
      <c r="O302" s="4">
        <f>SUM(J302:L302)/SUM(J302:M302)</f>
        <v/>
      </c>
      <c r="P302" s="5">
        <f>MAX(J302:L302)/SUM(J302:L302)</f>
        <v/>
      </c>
    </row>
    <row r="303">
      <c r="A303" t="inlineStr">
        <is>
          <t>Segundo año</t>
        </is>
      </c>
      <c r="B303" t="inlineStr">
        <is>
          <t>Primer periodo</t>
        </is>
      </c>
      <c r="C303" t="n">
        <v>8</v>
      </c>
      <c r="D303" t="n">
        <v>301</v>
      </c>
      <c r="E303" s="3" t="n">
        <v>45915</v>
      </c>
      <c r="F303" t="inlineStr">
        <is>
          <t>Iniciativa</t>
        </is>
      </c>
      <c r="G303" t="inlineStr">
        <is>
          <t>Dictamen con minuta de decreto por el cual se reforman las fracciones IX y X y se adiciona la fracción XI al artículo 4 de la Ley de Ordenamiento Territorial y Desarrollo Urbano del Estado</t>
        </is>
      </c>
      <c r="H303" t="n">
        <v>18</v>
      </c>
      <c r="I303" t="inlineStr">
        <is>
          <t>Administración Pública</t>
        </is>
      </c>
      <c r="J303" t="n">
        <v>39</v>
      </c>
      <c r="K303" t="n">
        <v>0</v>
      </c>
      <c r="L303" t="n">
        <v>0</v>
      </c>
      <c r="M303" t="n">
        <v>2</v>
      </c>
      <c r="N303">
        <f>SUM(J303:M303)</f>
        <v/>
      </c>
      <c r="O303" s="4">
        <f>SUM(J303:L303)/SUM(J303:M303)</f>
        <v/>
      </c>
      <c r="P303" s="5">
        <f>MAX(J303:L303)/SUM(J303:L303)</f>
        <v/>
      </c>
    </row>
    <row r="304">
      <c r="A304" t="inlineStr">
        <is>
          <t>Segundo año</t>
        </is>
      </c>
      <c r="B304" t="inlineStr">
        <is>
          <t>Primer periodo</t>
        </is>
      </c>
      <c r="C304" t="n">
        <v>9</v>
      </c>
      <c r="D304" t="n">
        <v>302</v>
      </c>
      <c r="E304" s="3" t="n">
        <v>45915</v>
      </c>
      <c r="F304" t="inlineStr">
        <is>
          <t>Punto de Acuerdo</t>
        </is>
      </c>
      <c r="G304" t="inlineStr">
        <is>
          <t>Acuerdo por el que se exhorta a la secretaría de movilidad y transporte y a los doscientos doce ayuntamientos y cinco concejos municipales del estado, para que en el ámbito de su competencia y de manera coordinada promuevan la colocación y mantenimiento progresivo de semáforos auditivos peatonales, señalización visual y háptica, y elementos de infraestructura urbana y peatonal accesibles, priorizando su colocación en espacios con alta afluencia peatonal; así como para que impulsen las capacitaciones y modificaciones reglamentarias necesarias a fin de garantizar la accesibilidad y seguridad vial en sus demarcaciones</t>
        </is>
      </c>
      <c r="H304" t="n">
        <v>11</v>
      </c>
      <c r="I304" t="inlineStr">
        <is>
          <t>Infraestructura, Movilidad y Transporte</t>
        </is>
      </c>
      <c r="J304" t="n">
        <v>39</v>
      </c>
      <c r="K304" t="n">
        <v>0</v>
      </c>
      <c r="L304" t="n">
        <v>0</v>
      </c>
      <c r="M304" t="n">
        <v>2</v>
      </c>
      <c r="N304">
        <f>SUM(J304:M304)</f>
        <v/>
      </c>
      <c r="O304" s="4">
        <f>SUM(J304:L304)/SUM(J304:M304)</f>
        <v/>
      </c>
      <c r="P304" s="5">
        <f>MAX(J304:L304)/SUM(J304:L304)</f>
        <v/>
      </c>
    </row>
    <row r="305">
      <c r="A305" t="inlineStr">
        <is>
          <t>Segundo año</t>
        </is>
      </c>
      <c r="B305" t="inlineStr">
        <is>
          <t>Primer periodo</t>
        </is>
      </c>
      <c r="C305" t="n">
        <v>10</v>
      </c>
      <c r="D305" t="n">
        <v>303</v>
      </c>
      <c r="E305" s="3" t="n">
        <v>45915</v>
      </c>
      <c r="F305" t="inlineStr">
        <is>
          <t>Punto de Acuerdo</t>
        </is>
      </c>
      <c r="G305" t="inlineStr">
        <is>
          <t>Acuerdo por el que se exhorta a las secretarías de salud y de educación pública, ambas del estado para que, en coordinación con los doscientos doce ayuntamientos y cinco concejos municipales, implementen campañas informativas sobre los riesgos del tabaquismo y vapeo, con especial énfasis en niñas, niños, adolescentes y jóvenes</t>
        </is>
      </c>
      <c r="H305" t="n">
        <v>6</v>
      </c>
      <c r="I305" t="inlineStr">
        <is>
          <t>Salud</t>
        </is>
      </c>
      <c r="J305" t="n">
        <v>39</v>
      </c>
      <c r="K305" t="n">
        <v>0</v>
      </c>
      <c r="L305" t="n">
        <v>0</v>
      </c>
      <c r="M305" t="n">
        <v>2</v>
      </c>
      <c r="N305">
        <f>SUM(J305:M305)</f>
        <v/>
      </c>
      <c r="O305" s="4">
        <f>SUM(J305:L305)/SUM(J305:M305)</f>
        <v/>
      </c>
      <c r="P305" s="5">
        <f>MAX(J305:L305)/SUM(J305:L305)</f>
        <v/>
      </c>
    </row>
    <row r="306">
      <c r="A306" t="inlineStr">
        <is>
          <t>Segundo año</t>
        </is>
      </c>
      <c r="B306" t="inlineStr">
        <is>
          <t>Primer periodo</t>
        </is>
      </c>
      <c r="C306" t="n">
        <v>11</v>
      </c>
      <c r="D306" t="n">
        <v>304</v>
      </c>
      <c r="E306" s="3" t="n">
        <v>45915</v>
      </c>
      <c r="F306" t="inlineStr">
        <is>
          <t>Punto de Acuerdo</t>
        </is>
      </c>
      <c r="G306" t="inlineStr">
        <is>
          <t>Acuerdo por el que se exhorta a los doscientos doce ayuntamientos y cinco concejos municipales del estado para que, en coordinación con las jurisdicciones sanitarias respectivas, realicen acciones de concientización y prevención del dengue, así como descacharrización y fumigación, a fin de erradicar el mosco transmisor del dengue y evitar que existan problemas de salud en la entidad</t>
        </is>
      </c>
      <c r="H306" t="n">
        <v>6</v>
      </c>
      <c r="I306" t="inlineStr">
        <is>
          <t>Salud</t>
        </is>
      </c>
      <c r="J306" t="n">
        <v>39</v>
      </c>
      <c r="K306" t="n">
        <v>0</v>
      </c>
      <c r="L306" t="n">
        <v>0</v>
      </c>
      <c r="M306" t="n">
        <v>2</v>
      </c>
      <c r="N306">
        <f>SUM(J306:M306)</f>
        <v/>
      </c>
      <c r="O306" s="4">
        <f>SUM(J306:L306)/SUM(J306:M306)</f>
        <v/>
      </c>
      <c r="P306" s="5">
        <f>MAX(J306:L306)/SUM(J306:L306)</f>
        <v/>
      </c>
    </row>
    <row r="307">
      <c r="A307" t="inlineStr">
        <is>
          <t>Segundo año</t>
        </is>
      </c>
      <c r="B307" t="inlineStr">
        <is>
          <t>Primer periodo</t>
        </is>
      </c>
      <c r="C307" t="n">
        <v>12</v>
      </c>
      <c r="D307" t="n">
        <v>305</v>
      </c>
      <c r="E307" s="3" t="n">
        <v>45915</v>
      </c>
      <c r="F307" t="inlineStr">
        <is>
          <t>Punto de Acuerdo</t>
        </is>
      </c>
      <c r="G307" t="inlineStr">
        <is>
          <t>Acuerdo por el que se exhorta a la secretaría de salud del estado para que implemente en los hospitales públicos de la entidad que otorgan atención materno-infantil, el protocolo denominado “código mariposa”, así como capacitaciones al personal médico, auxiliar y técnico de salud, con el fin de garantizar una atención respetuosa y humanizada a mujeres y familias que enfrenten la pérdida del producto de la concepción durante la gestación, parto o en el periodo neonatal</t>
        </is>
      </c>
      <c r="H307" t="n">
        <v>6</v>
      </c>
      <c r="I307" t="inlineStr">
        <is>
          <t>Salud</t>
        </is>
      </c>
      <c r="J307" t="n">
        <v>39</v>
      </c>
      <c r="K307" t="n">
        <v>0</v>
      </c>
      <c r="L307" t="n">
        <v>0</v>
      </c>
      <c r="M307" t="n">
        <v>2</v>
      </c>
      <c r="N307">
        <f>SUM(J307:M307)</f>
        <v/>
      </c>
      <c r="O307" s="4">
        <f>SUM(J307:L307)/SUM(J307:M307)</f>
        <v/>
      </c>
      <c r="P307" s="5">
        <f>MAX(J307:L307)/SUM(J307:L307)</f>
        <v/>
      </c>
    </row>
    <row r="308">
      <c r="A308" t="inlineStr">
        <is>
          <t>Segundo año</t>
        </is>
      </c>
      <c r="B308" t="inlineStr">
        <is>
          <t>Primer periodo</t>
        </is>
      </c>
      <c r="C308" t="n">
        <v>13</v>
      </c>
      <c r="D308" t="n">
        <v>306</v>
      </c>
      <c r="E308" s="3" t="n">
        <v>45915</v>
      </c>
      <c r="F308" t="inlineStr">
        <is>
          <t>Punto de Acuerdo</t>
        </is>
      </c>
      <c r="G308" t="inlineStr">
        <is>
          <t>Acuerdo por el que se exhorta a los doscientos doce ayuntamientos y a los cinco concejos municipales del estado, para que prioricen la contratación de empresas que garanticen el uso de mano de obra local, con el objeto de contribuir a la generación de empleos y al impulso del desarrollo económico y social municipal, regional y estatal</t>
        </is>
      </c>
      <c r="H308" t="n">
        <v>1</v>
      </c>
      <c r="I308" t="inlineStr">
        <is>
          <t>Economía, Comercio y Competitividad</t>
        </is>
      </c>
      <c r="J308" t="n">
        <v>39</v>
      </c>
      <c r="K308" t="n">
        <v>0</v>
      </c>
      <c r="L308" t="n">
        <v>0</v>
      </c>
      <c r="M308" t="n">
        <v>2</v>
      </c>
      <c r="N308">
        <f>SUM(J308:M308)</f>
        <v/>
      </c>
      <c r="O308" s="4">
        <f>SUM(J308:L308)/SUM(J308:M308)</f>
        <v/>
      </c>
      <c r="P308" s="5">
        <f>MAX(J308:L308)/SUM(J308:L308)</f>
        <v/>
      </c>
    </row>
    <row r="309">
      <c r="A309" t="inlineStr">
        <is>
          <t>Segundo año</t>
        </is>
      </c>
      <c r="B309" t="inlineStr">
        <is>
          <t>Primer periodo</t>
        </is>
      </c>
      <c r="C309" t="n">
        <v>14</v>
      </c>
      <c r="D309" t="n">
        <v>307</v>
      </c>
      <c r="E309" s="3" t="n">
        <v>45915</v>
      </c>
      <c r="F309" t="inlineStr">
        <is>
          <t>Punto de Acuerdo</t>
        </is>
      </c>
      <c r="G309" t="inlineStr">
        <is>
          <t>Acuerdo por el que se exhorta al honorable ayuntamiento del municipio de para que, a través de la tesorería municipal y en coordinación con las demás dependencias y entidades municipales, priorice y facilite el pago en efectivo de los diversos ingresos municipales, en favor de las personas adultas mayores y con discapacidad, promoviéndolo como un método compensatorio y alternativo de recaudación en los distintos puntos de cobro, con el fin de garantizar la equidad, inclusión, accesibilidad y eficiencia administrativa</t>
        </is>
      </c>
      <c r="H309" t="n">
        <v>7</v>
      </c>
      <c r="I309" t="inlineStr">
        <is>
          <t>Impuestos, Finanzas Públicas, Patrimonio estatal y municipal</t>
        </is>
      </c>
      <c r="J309" t="n">
        <v>39</v>
      </c>
      <c r="K309" t="n">
        <v>0</v>
      </c>
      <c r="L309" t="n">
        <v>0</v>
      </c>
      <c r="M309" t="n">
        <v>2</v>
      </c>
      <c r="N309">
        <f>SUM(J309:M309)</f>
        <v/>
      </c>
      <c r="O309" s="4">
        <f>SUM(J309:L309)/SUM(J309:M309)</f>
        <v/>
      </c>
      <c r="P309" s="5">
        <f>MAX(J309:L309)/SUM(J309:L309)</f>
        <v/>
      </c>
    </row>
    <row r="310">
      <c r="A310" t="inlineStr">
        <is>
          <t>Segundo año</t>
        </is>
      </c>
      <c r="B310" t="inlineStr">
        <is>
          <t>Primer periodo</t>
        </is>
      </c>
      <c r="C310" t="n">
        <v>15</v>
      </c>
      <c r="D310" t="n">
        <v>308</v>
      </c>
      <c r="E310" s="3" t="n">
        <v>45918</v>
      </c>
      <c r="F310" t="inlineStr">
        <is>
          <t>Punto de Acuerdo</t>
        </is>
      </c>
      <c r="G310" t="inlineStr">
        <is>
          <t>Acuerdo por el cual la dispensa de lectura</t>
        </is>
      </c>
      <c r="H310" t="n">
        <v>18</v>
      </c>
      <c r="I310" t="inlineStr">
        <is>
          <t>Administración Pública</t>
        </is>
      </c>
      <c r="J310" t="n">
        <v>41</v>
      </c>
      <c r="K310" t="n">
        <v>0</v>
      </c>
      <c r="L310" t="n">
        <v>0</v>
      </c>
      <c r="M310" t="n">
        <v>0</v>
      </c>
      <c r="N310">
        <f>SUM(J310:M310)</f>
        <v/>
      </c>
      <c r="O310" s="4">
        <f>SUM(J310:L310)/SUM(J310:M310)</f>
        <v/>
      </c>
      <c r="P310" s="5">
        <f>MAX(J310:L310)/SUM(J310:L310)</f>
        <v/>
      </c>
    </row>
    <row r="311">
      <c r="A311" t="inlineStr">
        <is>
          <t>Segundo año</t>
        </is>
      </c>
      <c r="B311" t="inlineStr">
        <is>
          <t>Primer periodo</t>
        </is>
      </c>
      <c r="C311" t="n">
        <v>16</v>
      </c>
      <c r="D311" t="n">
        <v>309</v>
      </c>
      <c r="E311" s="3" t="n">
        <v>45918</v>
      </c>
      <c r="F311" t="inlineStr">
        <is>
          <t>Punto de Acuerdo</t>
        </is>
      </c>
      <c r="G311" t="inlineStr">
        <is>
          <t>Acuerdo por el cual la solicitud planteada</t>
        </is>
      </c>
      <c r="H311" t="n">
        <v>18</v>
      </c>
      <c r="I311" t="inlineStr">
        <is>
          <t>Administración Pública</t>
        </is>
      </c>
      <c r="J311" t="n">
        <v>41</v>
      </c>
      <c r="K311" t="n">
        <v>0</v>
      </c>
      <c r="L311" t="n">
        <v>0</v>
      </c>
      <c r="M311" t="n">
        <v>0</v>
      </c>
      <c r="N311">
        <f>SUM(J311:M311)</f>
        <v/>
      </c>
      <c r="O311" s="4">
        <f>SUM(J311:L311)/SUM(J311:M311)</f>
        <v/>
      </c>
      <c r="P311" s="5">
        <f>MAX(J311:L311)/SUM(J311:L311)</f>
        <v/>
      </c>
    </row>
    <row r="312">
      <c r="A312" t="inlineStr">
        <is>
          <t>Segundo año</t>
        </is>
      </c>
      <c r="B312" t="inlineStr">
        <is>
          <t>Primer periodo</t>
        </is>
      </c>
      <c r="C312" t="n">
        <v>17</v>
      </c>
      <c r="D312" t="n">
        <v>310</v>
      </c>
      <c r="E312" s="3" t="n">
        <v>45925</v>
      </c>
      <c r="F312" t="inlineStr">
        <is>
          <t>Punto de Acuerdo</t>
        </is>
      </c>
      <c r="G312" t="inlineStr">
        <is>
          <t>Acuerdo por el cual la dispensa de lectura del orden del día</t>
        </is>
      </c>
      <c r="H312" t="n">
        <v>19</v>
      </c>
      <c r="I312" t="inlineStr">
        <is>
          <t>Internos del Congreso</t>
        </is>
      </c>
      <c r="J312" t="n">
        <v>39</v>
      </c>
      <c r="K312" t="n">
        <v>0</v>
      </c>
      <c r="L312" t="n">
        <v>0</v>
      </c>
      <c r="M312" t="n">
        <v>0</v>
      </c>
      <c r="N312">
        <f>SUM(J312:M312)</f>
        <v/>
      </c>
      <c r="O312" s="4">
        <f>SUM(J312:L312)/SUM(J312:M312)</f>
        <v/>
      </c>
      <c r="P312" s="5">
        <f>MAX(J312:L312)/SUM(J312:L312)</f>
        <v/>
      </c>
    </row>
    <row r="313">
      <c r="A313" t="inlineStr">
        <is>
          <t>Segundo año</t>
        </is>
      </c>
      <c r="B313" t="inlineStr">
        <is>
          <t>Primer periodo</t>
        </is>
      </c>
      <c r="C313" t="n">
        <v>18</v>
      </c>
      <c r="D313" t="n">
        <v>311</v>
      </c>
      <c r="E313" s="3" t="n">
        <v>45925</v>
      </c>
      <c r="F313" t="inlineStr">
        <is>
          <t>Punto de Acuerdo</t>
        </is>
      </c>
      <c r="G313" t="inlineStr">
        <is>
          <t>Acuerdo por el cual las solicitudes para retirar los puntos quince y veinte del orden del día</t>
        </is>
      </c>
      <c r="H313" t="n">
        <v>19</v>
      </c>
      <c r="I313" t="inlineStr">
        <is>
          <t>Internos del Congreso</t>
        </is>
      </c>
      <c r="J313" t="n">
        <v>39</v>
      </c>
      <c r="K313" t="n">
        <v>0</v>
      </c>
      <c r="L313" t="n">
        <v>0</v>
      </c>
      <c r="M313" t="n">
        <v>0</v>
      </c>
      <c r="N313">
        <f>SUM(J313:M313)</f>
        <v/>
      </c>
      <c r="O313" s="4">
        <f>SUM(J313:L313)/SUM(J313:M313)</f>
        <v/>
      </c>
      <c r="P313" s="5">
        <f>MAX(J313:L313)/SUM(J313:L313)</f>
        <v/>
      </c>
    </row>
    <row r="314">
      <c r="A314" t="inlineStr">
        <is>
          <t>Segundo año</t>
        </is>
      </c>
      <c r="B314" t="inlineStr">
        <is>
          <t>Primer periodo</t>
        </is>
      </c>
      <c r="C314" t="n">
        <v>19</v>
      </c>
      <c r="D314" t="n">
        <v>312</v>
      </c>
      <c r="E314" s="3" t="n">
        <v>45925</v>
      </c>
      <c r="F314" t="inlineStr">
        <is>
          <t>Punto de Acuerdo</t>
        </is>
      </c>
      <c r="G314" t="inlineStr">
        <is>
          <t>Acuerdo por el cual la dispensa de la lectura del acta de la sesión pública ordinaria celebrada el dieciocho de septiembre</t>
        </is>
      </c>
      <c r="H314" t="n">
        <v>19</v>
      </c>
      <c r="I314" t="inlineStr">
        <is>
          <t>Internos del Congreso</t>
        </is>
      </c>
      <c r="J314" t="n">
        <v>39</v>
      </c>
      <c r="K314" t="n">
        <v>0</v>
      </c>
      <c r="L314" t="n">
        <v>0</v>
      </c>
      <c r="M314" t="n">
        <v>0</v>
      </c>
      <c r="N314">
        <f>SUM(J314:M314)</f>
        <v/>
      </c>
      <c r="O314" s="4">
        <f>SUM(J314:L314)/SUM(J314:M314)</f>
        <v/>
      </c>
      <c r="P314" s="5">
        <f>MAX(J314:L314)/SUM(J314:L314)</f>
        <v/>
      </c>
    </row>
    <row r="315">
      <c r="A315" t="inlineStr">
        <is>
          <t>Segundo año</t>
        </is>
      </c>
      <c r="B315" t="inlineStr">
        <is>
          <t>Primer periodo</t>
        </is>
      </c>
      <c r="C315" t="n">
        <v>20</v>
      </c>
      <c r="D315" t="n">
        <v>313</v>
      </c>
      <c r="E315" s="3" t="n">
        <v>45925</v>
      </c>
      <c r="F315" t="inlineStr">
        <is>
          <t>Punto de Acuerdo</t>
        </is>
      </c>
      <c r="G315" t="inlineStr">
        <is>
          <t>Acuerdo por el cual el contenido del acta</t>
        </is>
      </c>
      <c r="H315" t="n">
        <v>19</v>
      </c>
      <c r="I315" t="inlineStr">
        <is>
          <t>Internos del Congreso</t>
        </is>
      </c>
      <c r="J315" t="n">
        <v>39</v>
      </c>
      <c r="K315" t="n">
        <v>0</v>
      </c>
      <c r="L315" t="n">
        <v>0</v>
      </c>
      <c r="M315" t="n">
        <v>0</v>
      </c>
      <c r="N315">
        <f>SUM(J315:M315)</f>
        <v/>
      </c>
      <c r="O315" s="4">
        <f>SUM(J315:L315)/SUM(J315:M315)</f>
        <v/>
      </c>
      <c r="P315" s="5">
        <f>MAX(J315:L315)/SUM(J315:L315)</f>
        <v/>
      </c>
    </row>
    <row r="316">
      <c r="A316" t="inlineStr">
        <is>
          <t>Segundo año</t>
        </is>
      </c>
      <c r="B316" t="inlineStr">
        <is>
          <t>Primer periodo</t>
        </is>
      </c>
      <c r="C316" t="n">
        <v>21</v>
      </c>
      <c r="D316" t="n">
        <v>314</v>
      </c>
      <c r="E316" s="3" t="n">
        <v>45932</v>
      </c>
      <c r="F316" t="inlineStr">
        <is>
          <t>Punto de Acuerdo</t>
        </is>
      </c>
      <c r="G316" t="inlineStr">
        <is>
          <t>Acuerdo por el cual la dispensa de lectura del orden del día</t>
        </is>
      </c>
      <c r="H316" t="n">
        <v>19</v>
      </c>
      <c r="I316" t="inlineStr">
        <is>
          <t>Internos del Congreso</t>
        </is>
      </c>
      <c r="J316" t="n">
        <v>41</v>
      </c>
      <c r="K316" t="n">
        <v>0</v>
      </c>
      <c r="L316" t="n">
        <v>0</v>
      </c>
      <c r="M316" t="n">
        <v>0</v>
      </c>
      <c r="N316">
        <f>SUM(J316:M316)</f>
        <v/>
      </c>
      <c r="O316" s="4">
        <f>SUM(J316:L316)/SUM(J316:M316)</f>
        <v/>
      </c>
      <c r="P316" s="5">
        <f>MAX(J316:L316)/SUM(J316:L316)</f>
        <v/>
      </c>
    </row>
    <row r="317">
      <c r="A317" t="inlineStr">
        <is>
          <t>Segundo año</t>
        </is>
      </c>
      <c r="B317" t="inlineStr">
        <is>
          <t>Primer periodo</t>
        </is>
      </c>
      <c r="C317" t="n">
        <v>22</v>
      </c>
      <c r="D317" t="n">
        <v>315</v>
      </c>
      <c r="E317" s="3" t="n">
        <v>45932</v>
      </c>
      <c r="F317" t="inlineStr">
        <is>
          <t>Punto de Acuerdo</t>
        </is>
      </c>
      <c r="G317" t="inlineStr">
        <is>
          <t>Acuerdo por el cual la solicitud para retirar el punto veintiocho del orden del día</t>
        </is>
      </c>
      <c r="H317" t="n">
        <v>19</v>
      </c>
      <c r="I317" t="inlineStr">
        <is>
          <t>Internos del Congreso</t>
        </is>
      </c>
      <c r="J317" t="n">
        <v>41</v>
      </c>
      <c r="K317" t="n">
        <v>0</v>
      </c>
      <c r="L317" t="n">
        <v>0</v>
      </c>
      <c r="M317" t="n">
        <v>0</v>
      </c>
      <c r="N317">
        <f>SUM(J317:M317)</f>
        <v/>
      </c>
      <c r="O317" s="4">
        <f>SUM(J317:L317)/SUM(J317:M317)</f>
        <v/>
      </c>
      <c r="P317" s="5">
        <f>MAX(J317:L317)/SUM(J317:L317)</f>
        <v/>
      </c>
    </row>
    <row r="318">
      <c r="A318" t="inlineStr">
        <is>
          <t>Segundo año</t>
        </is>
      </c>
      <c r="B318" t="inlineStr">
        <is>
          <t>Primer periodo</t>
        </is>
      </c>
      <c r="C318" t="n">
        <v>23</v>
      </c>
      <c r="D318" t="n">
        <v>316</v>
      </c>
      <c r="E318" s="3" t="n">
        <v>45932</v>
      </c>
      <c r="F318" t="inlineStr">
        <is>
          <t>Punto de Acuerdo</t>
        </is>
      </c>
      <c r="G318" t="inlineStr">
        <is>
          <t>Acuerdo por el cual la inclusión del dictamen con minuta de decreto antes referido</t>
        </is>
      </c>
      <c r="H318" t="n">
        <v>19</v>
      </c>
      <c r="I318" t="inlineStr">
        <is>
          <t>Internos del Congreso</t>
        </is>
      </c>
      <c r="J318" t="n">
        <v>41</v>
      </c>
      <c r="K318" t="n">
        <v>0</v>
      </c>
      <c r="L318" t="n">
        <v>0</v>
      </c>
      <c r="M318" t="n">
        <v>0</v>
      </c>
      <c r="N318">
        <f>SUM(J318:M318)</f>
        <v/>
      </c>
      <c r="O318" s="4">
        <f>SUM(J318:L318)/SUM(J318:M318)</f>
        <v/>
      </c>
      <c r="P318" s="5">
        <f>MAX(J318:L318)/SUM(J318:L318)</f>
        <v/>
      </c>
    </row>
    <row r="319">
      <c r="A319" t="inlineStr">
        <is>
          <t>Segundo año</t>
        </is>
      </c>
      <c r="B319" t="inlineStr">
        <is>
          <t>Primer periodo</t>
        </is>
      </c>
      <c r="C319" t="n">
        <v>24</v>
      </c>
      <c r="D319" t="n">
        <v>317</v>
      </c>
      <c r="E319" s="3" t="n">
        <v>45932</v>
      </c>
      <c r="F319" t="inlineStr">
        <is>
          <t>Punto de Acuerdo</t>
        </is>
      </c>
      <c r="G319" t="inlineStr">
        <is>
          <t>Acuerdo por el cual la dispensa de su lectura</t>
        </is>
      </c>
      <c r="H319" t="n">
        <v>19</v>
      </c>
      <c r="I319" t="inlineStr">
        <is>
          <t>Internos del Congreso</t>
        </is>
      </c>
      <c r="J319" t="n">
        <v>41</v>
      </c>
      <c r="K319" t="n">
        <v>0</v>
      </c>
      <c r="L319" t="n">
        <v>0</v>
      </c>
      <c r="M319" t="n">
        <v>0</v>
      </c>
      <c r="N319">
        <f>SUM(J319:M319)</f>
        <v/>
      </c>
      <c r="O319" s="4">
        <f>SUM(J319:L319)/SUM(J319:M319)</f>
        <v/>
      </c>
      <c r="P319" s="5">
        <f>MAX(J319:L319)/SUM(J319:L319)</f>
        <v/>
      </c>
    </row>
    <row r="320">
      <c r="A320" t="inlineStr">
        <is>
          <t>Segundo año</t>
        </is>
      </c>
      <c r="B320" t="inlineStr">
        <is>
          <t>Primer periodo</t>
        </is>
      </c>
      <c r="C320" t="n">
        <v>25</v>
      </c>
      <c r="D320" t="n">
        <v>318</v>
      </c>
      <c r="E320" s="3" t="n">
        <v>45932</v>
      </c>
      <c r="F320" t="inlineStr">
        <is>
          <t>Punto de Acuerdo</t>
        </is>
      </c>
      <c r="G320" t="inlineStr">
        <is>
          <t>Acuerdo por el cual el contenido del acta</t>
        </is>
      </c>
      <c r="H320" t="n">
        <v>19</v>
      </c>
      <c r="I320" t="inlineStr">
        <is>
          <t>Internos del Congreso</t>
        </is>
      </c>
      <c r="J320" t="n">
        <v>41</v>
      </c>
      <c r="K320" t="n">
        <v>0</v>
      </c>
      <c r="L320" t="n">
        <v>0</v>
      </c>
      <c r="M320" t="n">
        <v>0</v>
      </c>
      <c r="N320">
        <f>SUM(J320:M320)</f>
        <v/>
      </c>
      <c r="O320" s="4">
        <f>SUM(J320:L320)/SUM(J320:M320)</f>
        <v/>
      </c>
      <c r="P320" s="5">
        <f>MAX(J320:L320)/SUM(J320:L320)</f>
        <v/>
      </c>
    </row>
    <row r="321">
      <c r="A321" t="inlineStr">
        <is>
          <t>Segundo año</t>
        </is>
      </c>
      <c r="B321" t="inlineStr">
        <is>
          <t>Primer periodo</t>
        </is>
      </c>
      <c r="C321" t="n">
        <v>26</v>
      </c>
      <c r="D321" t="n">
        <v>319</v>
      </c>
      <c r="E321" s="3" t="n">
        <v>45932</v>
      </c>
      <c r="F321" t="inlineStr">
        <is>
          <t>Punto de Acuerdo</t>
        </is>
      </c>
      <c r="G321" t="inlineStr">
        <is>
          <t>Acuerdo por el cual la dispensa su lectura</t>
        </is>
      </c>
      <c r="H321" t="n">
        <v>19</v>
      </c>
      <c r="I321" t="inlineStr">
        <is>
          <t>Internos del Congreso</t>
        </is>
      </c>
      <c r="J321" t="n">
        <v>41</v>
      </c>
      <c r="K321" t="n">
        <v>0</v>
      </c>
      <c r="L321" t="n">
        <v>0</v>
      </c>
      <c r="M321" t="n">
        <v>0</v>
      </c>
      <c r="N321">
        <f>SUM(J321:M321)</f>
        <v/>
      </c>
      <c r="O321" s="4">
        <f>SUM(J321:L321)/SUM(J321:M321)</f>
        <v/>
      </c>
      <c r="P321" s="5">
        <f>MAX(J321:L321)/SUM(J321:L321)</f>
        <v/>
      </c>
    </row>
    <row r="322">
      <c r="A322" t="inlineStr">
        <is>
          <t>Segundo año</t>
        </is>
      </c>
      <c r="B322" t="inlineStr">
        <is>
          <t>Primer periodo</t>
        </is>
      </c>
      <c r="C322" t="n">
        <v>27</v>
      </c>
      <c r="D322" t="n">
        <v>320</v>
      </c>
      <c r="E322" s="3" t="n">
        <v>45932</v>
      </c>
      <c r="F322" t="inlineStr">
        <is>
          <t>Iniciativa</t>
        </is>
      </c>
      <c r="G322" t="inlineStr">
        <is>
          <t>Dictamen con minuta Proyecto de decreto por el cual se reforman los artículos 76 y 78 de la constitución política de los estados unidos mexicanos, en materia de ratificación de grados superiores de la guardia nacional</t>
        </is>
      </c>
      <c r="H322" t="n">
        <v>3</v>
      </c>
      <c r="I322" t="inlineStr">
        <is>
          <t>Seguridad Pública, Protección Civil y Narcotráfico</t>
        </is>
      </c>
      <c r="J322" t="n">
        <v>34</v>
      </c>
      <c r="K322" t="n">
        <v>6</v>
      </c>
      <c r="L322" t="n">
        <v>0</v>
      </c>
      <c r="M322" t="n">
        <v>1</v>
      </c>
      <c r="N322">
        <f>SUM(J322:M322)</f>
        <v/>
      </c>
      <c r="O322" s="4">
        <f>SUM(J322:L322)/SUM(J322:M322)</f>
        <v/>
      </c>
      <c r="P322" s="5">
        <f>MAX(J322:L322)/SUM(J322:L322)</f>
        <v/>
      </c>
    </row>
    <row r="323">
      <c r="A323" t="inlineStr">
        <is>
          <t>Segundo año</t>
        </is>
      </c>
      <c r="B323" t="inlineStr">
        <is>
          <t>Primer periodo</t>
        </is>
      </c>
      <c r="C323" t="n">
        <v>28</v>
      </c>
      <c r="D323" t="n">
        <v>321</v>
      </c>
      <c r="E323" s="3" t="n">
        <v>45932</v>
      </c>
      <c r="F323" t="inlineStr">
        <is>
          <t>Iniciativa</t>
        </is>
      </c>
      <c r="G323" t="inlineStr">
        <is>
          <t>Dictamen con minuta Proyecto de decreto por el cual se reforma el inciso a) de la fracción xxi del artículo 73 de la constitución política de los estados unidos mexicanos, en materia de extorsión</t>
        </is>
      </c>
      <c r="H323" t="n">
        <v>3</v>
      </c>
      <c r="I323" t="inlineStr">
        <is>
          <t>Seguridad Pública, Protección Civil y Narcotráfico</t>
        </is>
      </c>
      <c r="J323" t="n">
        <v>40</v>
      </c>
      <c r="K323" t="n">
        <v>0</v>
      </c>
      <c r="L323" t="n">
        <v>0</v>
      </c>
      <c r="M323" t="n">
        <v>1</v>
      </c>
      <c r="N323">
        <f>SUM(J323:M323)</f>
        <v/>
      </c>
      <c r="O323" s="4">
        <f>SUM(J323:L323)/SUM(J323:M323)</f>
        <v/>
      </c>
      <c r="P323" s="5">
        <f>MAX(J323:L323)/SUM(J323:L323)</f>
        <v/>
      </c>
    </row>
    <row r="324">
      <c r="A324" t="inlineStr">
        <is>
          <t>Segundo año</t>
        </is>
      </c>
      <c r="B324" t="inlineStr">
        <is>
          <t>Primer periodo</t>
        </is>
      </c>
      <c r="C324" t="n">
        <v>29</v>
      </c>
      <c r="D324" t="n">
        <v>322</v>
      </c>
      <c r="E324" s="3" t="n">
        <v>45932</v>
      </c>
      <c r="F324" t="inlineStr">
        <is>
          <t>Iniciativa</t>
        </is>
      </c>
      <c r="G324" t="inlineStr">
        <is>
          <t>Dictamen con minuta de decreto por el cual se reforman y adicionan diversas disposiciones de la ley estatal de salud; y de la ley de los derechos de las niñas, niños y adolescentes del estado</t>
        </is>
      </c>
      <c r="H324" t="n">
        <v>6</v>
      </c>
      <c r="I324" t="inlineStr">
        <is>
          <t>Salud</t>
        </is>
      </c>
      <c r="J324" t="n">
        <v>40</v>
      </c>
      <c r="K324" t="n">
        <v>0</v>
      </c>
      <c r="L324" t="n">
        <v>0</v>
      </c>
      <c r="M324" t="n">
        <v>1</v>
      </c>
      <c r="N324">
        <f>SUM(J324:M324)</f>
        <v/>
      </c>
      <c r="O324" s="4">
        <f>SUM(J324:L324)/SUM(J324:M324)</f>
        <v/>
      </c>
      <c r="P324" s="5">
        <f>MAX(J324:L324)/SUM(J324:L324)</f>
        <v/>
      </c>
    </row>
    <row r="325">
      <c r="A325" t="inlineStr">
        <is>
          <t>Segundo año</t>
        </is>
      </c>
      <c r="B325" t="inlineStr">
        <is>
          <t>Primer periodo</t>
        </is>
      </c>
      <c r="C325" t="n">
        <v>30</v>
      </c>
      <c r="D325" t="n">
        <v>323</v>
      </c>
      <c r="E325" s="3" t="n">
        <v>45932</v>
      </c>
      <c r="F325" t="inlineStr">
        <is>
          <t>Iniciativa</t>
        </is>
      </c>
      <c r="G325" t="inlineStr">
        <is>
          <t>Dictamen con minuta de decreto por el cual se adiciona la fracción x al artículo 39 de la ley de los trabajadores al servicio del estado y se reforman las fracciones ix, x y se adiciona la fracción xi al artículo 36 de la ley de los trabajadores al servicio del ayuntamiento del municipio</t>
        </is>
      </c>
      <c r="H325" t="n">
        <v>16</v>
      </c>
      <c r="I325" t="inlineStr">
        <is>
          <t>Trabajo y Previsión Social</t>
        </is>
      </c>
      <c r="J325" t="n">
        <v>40</v>
      </c>
      <c r="K325" t="n">
        <v>0</v>
      </c>
      <c r="L325" t="n">
        <v>0</v>
      </c>
      <c r="M325" t="n">
        <v>1</v>
      </c>
      <c r="N325">
        <f>SUM(J325:M325)</f>
        <v/>
      </c>
      <c r="O325" s="4">
        <f>SUM(J325:L325)/SUM(J325:M325)</f>
        <v/>
      </c>
      <c r="P325" s="5">
        <f>MAX(J325:L325)/SUM(J325:L325)</f>
        <v/>
      </c>
    </row>
    <row r="326">
      <c r="A326" t="inlineStr">
        <is>
          <t>Segundo año</t>
        </is>
      </c>
      <c r="B326" t="inlineStr">
        <is>
          <t>Primer periodo</t>
        </is>
      </c>
      <c r="C326" t="n">
        <v>31</v>
      </c>
      <c r="D326" t="n">
        <v>324</v>
      </c>
      <c r="E326" s="3" t="n">
        <v>45932</v>
      </c>
      <c r="F326" t="inlineStr">
        <is>
          <t>Punto de Acuerdo</t>
        </is>
      </c>
      <c r="G326" t="inlineStr">
        <is>
          <t>Acuerdo por el que se exhorta a la secretaría de desarrollo económico y trabajo, y a los doscientos doce ayuntamientos y cinco concejos municipales del estado, para que en el ámbito de su competencia y circunscripciones, atiendan y difundan la norma oficial mexicana nom-035-stps-2018, factores de riesgo psicosocial en el trabajo-identificación, análisis y prevención</t>
        </is>
      </c>
      <c r="H326" t="n">
        <v>16</v>
      </c>
      <c r="I326" t="inlineStr">
        <is>
          <t>Trabajo y Previsión Social</t>
        </is>
      </c>
      <c r="J326" t="n">
        <v>40</v>
      </c>
      <c r="K326" t="n">
        <v>0</v>
      </c>
      <c r="L326" t="n">
        <v>0</v>
      </c>
      <c r="M326" t="n">
        <v>1</v>
      </c>
      <c r="N326">
        <f>SUM(J326:M326)</f>
        <v/>
      </c>
      <c r="O326" s="4">
        <f>SUM(J326:L326)/SUM(J326:M326)</f>
        <v/>
      </c>
      <c r="P326" s="5">
        <f>MAX(J326:L326)/SUM(J326:L326)</f>
        <v/>
      </c>
    </row>
    <row r="327">
      <c r="A327" t="inlineStr">
        <is>
          <t>Segundo año</t>
        </is>
      </c>
      <c r="B327" t="inlineStr">
        <is>
          <t>Primer periodo</t>
        </is>
      </c>
      <c r="C327" t="n">
        <v>32</v>
      </c>
      <c r="D327" t="n">
        <v>325</v>
      </c>
      <c r="E327" s="3" t="n">
        <v>45932</v>
      </c>
      <c r="F327" t="inlineStr">
        <is>
          <t>Punto de Acuerdo</t>
        </is>
      </c>
      <c r="G327" t="inlineStr">
        <is>
          <t>Acuerdo por el que se exhorta a la secretaría de medio ambiente, desarrollo sustentable y ordenamiento territorial, y a la secretaría de agricultura y desarrollo rural, ambas del estado, para que en coordinación con los doscientos doce ayuntamientos y cinco concejos municipales de la entidad, implementen acciones para fomentar y proteger la actividad apícola en territorio poblano</t>
        </is>
      </c>
      <c r="H327" t="n">
        <v>5</v>
      </c>
      <c r="I327" t="inlineStr">
        <is>
          <t>Medio Ambiente</t>
        </is>
      </c>
      <c r="J327" t="n">
        <v>40</v>
      </c>
      <c r="K327" t="n">
        <v>0</v>
      </c>
      <c r="L327" t="n">
        <v>0</v>
      </c>
      <c r="M327" t="n">
        <v>1</v>
      </c>
      <c r="N327">
        <f>SUM(J327:M327)</f>
        <v/>
      </c>
      <c r="O327" s="4">
        <f>SUM(J327:L327)/SUM(J327:M327)</f>
        <v/>
      </c>
      <c r="P327" s="5">
        <f>MAX(J327:L327)/SUM(J327:L327)</f>
        <v/>
      </c>
    </row>
    <row r="328">
      <c r="A328" t="inlineStr">
        <is>
          <t>Segundo año</t>
        </is>
      </c>
      <c r="B328" t="inlineStr">
        <is>
          <t>Primer periodo</t>
        </is>
      </c>
      <c r="C328" t="n">
        <v>33</v>
      </c>
      <c r="D328" t="n">
        <v>326</v>
      </c>
      <c r="E328" s="3" t="n">
        <v>45932</v>
      </c>
      <c r="F328" t="inlineStr">
        <is>
          <t>Punto de Acuerdo</t>
        </is>
      </c>
      <c r="G328" t="inlineStr">
        <is>
          <t>Acuerdo por el que se exhorta a la agencia nacional de seguridad industrial y de protección al medio ambiente del sector hidrocarburos, para que fortalezca la supervisión y concientización en las estaciones de almacenamiento y expendio de diésel y gasolina en el estado</t>
        </is>
      </c>
      <c r="H328" t="n">
        <v>5</v>
      </c>
      <c r="I328" t="inlineStr">
        <is>
          <t>Medio Ambiente</t>
        </is>
      </c>
      <c r="J328" t="n">
        <v>40</v>
      </c>
      <c r="K328" t="n">
        <v>0</v>
      </c>
      <c r="L328" t="n">
        <v>0</v>
      </c>
      <c r="M328" t="n">
        <v>1</v>
      </c>
      <c r="N328">
        <f>SUM(J328:M328)</f>
        <v/>
      </c>
      <c r="O328" s="4">
        <f>SUM(J328:L328)/SUM(J328:M328)</f>
        <v/>
      </c>
      <c r="P328" s="5">
        <f>MAX(J328:L328)/SUM(J328:L328)</f>
        <v/>
      </c>
    </row>
    <row r="329">
      <c r="A329" t="inlineStr">
        <is>
          <t>Segundo año</t>
        </is>
      </c>
      <c r="B329" t="inlineStr">
        <is>
          <t>Primer periodo</t>
        </is>
      </c>
      <c r="C329" t="n">
        <v>34</v>
      </c>
      <c r="D329" t="n">
        <v>327</v>
      </c>
      <c r="E329" s="3" t="n">
        <v>45932</v>
      </c>
      <c r="F329" t="inlineStr">
        <is>
          <t>Punto de Acuerdo</t>
        </is>
      </c>
      <c r="G329" t="inlineStr">
        <is>
          <t>Acuerdo por el que se exhorta a la secretaría de medio ambiente, desarrollo sustentable y ordenamiento territorial del estado, para que dentro de su partida presupuestal para el ejercicio fiscal 2026, considere recursos para la actualización y monitoreo del inventario estatal forestal y de suelos</t>
        </is>
      </c>
      <c r="H329" t="n">
        <v>5</v>
      </c>
      <c r="I329" t="inlineStr">
        <is>
          <t>Medio Ambiente</t>
        </is>
      </c>
      <c r="J329" t="n">
        <v>40</v>
      </c>
      <c r="K329" t="n">
        <v>0</v>
      </c>
      <c r="L329" t="n">
        <v>0</v>
      </c>
      <c r="M329" t="n">
        <v>1</v>
      </c>
      <c r="N329">
        <f>SUM(J329:M329)</f>
        <v/>
      </c>
      <c r="O329" s="4">
        <f>SUM(J329:L329)/SUM(J329:M329)</f>
        <v/>
      </c>
      <c r="P329" s="5">
        <f>MAX(J329:L329)/SUM(J329:L329)</f>
        <v/>
      </c>
    </row>
    <row r="330">
      <c r="A330" t="inlineStr">
        <is>
          <t>Segundo año</t>
        </is>
      </c>
      <c r="B330" t="inlineStr">
        <is>
          <t>Primer periodo</t>
        </is>
      </c>
      <c r="C330" t="n">
        <v>35</v>
      </c>
      <c r="D330" t="n">
        <v>328</v>
      </c>
      <c r="E330" s="3" t="n">
        <v>45932</v>
      </c>
      <c r="F330" t="inlineStr">
        <is>
          <t>Punto de Acuerdo</t>
        </is>
      </c>
      <c r="G330" t="inlineStr">
        <is>
          <t>Acuerdo por el cual la prórroga de la sesión hasta concluir todos los puntos del orden del día</t>
        </is>
      </c>
      <c r="H330" t="n">
        <v>19</v>
      </c>
      <c r="I330" t="inlineStr">
        <is>
          <t>Internos del Congreso</t>
        </is>
      </c>
      <c r="J330" t="n">
        <v>41</v>
      </c>
      <c r="K330" t="n">
        <v>0</v>
      </c>
      <c r="L330" t="n">
        <v>0</v>
      </c>
      <c r="M330" t="n">
        <v>0</v>
      </c>
      <c r="N330">
        <f>SUM(J330:M330)</f>
        <v/>
      </c>
      <c r="O330" s="4">
        <f>SUM(J330:L330)/SUM(J330:M330)</f>
        <v/>
      </c>
      <c r="P330" s="5">
        <f>MAX(J330:L330)/SUM(J330:L330)</f>
        <v/>
      </c>
    </row>
    <row r="331">
      <c r="A331" t="inlineStr">
        <is>
          <t>Segundo año</t>
        </is>
      </c>
      <c r="B331" t="inlineStr">
        <is>
          <t>Primer periodo</t>
        </is>
      </c>
      <c r="C331" t="n">
        <v>36</v>
      </c>
      <c r="D331" t="n">
        <v>329</v>
      </c>
      <c r="E331" s="3" t="n">
        <v>45939</v>
      </c>
      <c r="F331" t="inlineStr">
        <is>
          <t>Iniciativa</t>
        </is>
      </c>
      <c r="G331" t="inlineStr">
        <is>
          <t>Dictamen con minuta Proyecto de decreto por el cual se deroga la fracción V del artículo 44 de la ley de gobierno digital para el estado de y sus municipios</t>
        </is>
      </c>
      <c r="H331" t="n">
        <v>18</v>
      </c>
      <c r="I331" t="inlineStr">
        <is>
          <t>Administración Pública</t>
        </is>
      </c>
      <c r="J331" t="n">
        <v>34</v>
      </c>
      <c r="K331" t="n">
        <v>0</v>
      </c>
      <c r="L331" t="n">
        <v>0</v>
      </c>
      <c r="M331" t="n">
        <v>7</v>
      </c>
      <c r="N331">
        <f>SUM(J331:M331)</f>
        <v/>
      </c>
      <c r="O331" s="4">
        <f>SUM(J331:L331)/SUM(J331:M331)</f>
        <v/>
      </c>
      <c r="P331" s="5">
        <f>MAX(J331:L331)/SUM(J331:L331)</f>
        <v/>
      </c>
    </row>
    <row r="332">
      <c r="A332" t="inlineStr">
        <is>
          <t>Segundo año</t>
        </is>
      </c>
      <c r="B332" t="inlineStr">
        <is>
          <t>Primer periodo</t>
        </is>
      </c>
      <c r="C332" t="n">
        <v>37</v>
      </c>
      <c r="D332" t="n">
        <v>330</v>
      </c>
      <c r="E332" s="3" t="n">
        <v>45939</v>
      </c>
      <c r="F332" t="inlineStr">
        <is>
          <t>Iniciativa</t>
        </is>
      </c>
      <c r="G332" t="inlineStr">
        <is>
          <t>Dictamen con minuta Proyecto de decreto por el cual se reforma el artículo 1, las fracciones I, II, III, IV, V, VIII, IX y XI del artículo 15, los artículos 41 bis, 43 bis y 69 de la ley de turismo del estado de</t>
        </is>
      </c>
      <c r="H332" t="n">
        <v>1</v>
      </c>
      <c r="I332" t="inlineStr">
        <is>
          <t>Economía, Comercio y Competitividad</t>
        </is>
      </c>
      <c r="J332" t="n">
        <v>34</v>
      </c>
      <c r="K332" t="n">
        <v>0</v>
      </c>
      <c r="L332" t="n">
        <v>0</v>
      </c>
      <c r="M332" t="n">
        <v>7</v>
      </c>
      <c r="N332">
        <f>SUM(J332:M332)</f>
        <v/>
      </c>
      <c r="O332" s="4">
        <f>SUM(J332:L332)/SUM(J332:M332)</f>
        <v/>
      </c>
      <c r="P332" s="5">
        <f>MAX(J332:L332)/SUM(J332:L332)</f>
        <v/>
      </c>
    </row>
    <row r="333">
      <c r="A333" t="inlineStr">
        <is>
          <t>Segundo año</t>
        </is>
      </c>
      <c r="B333" t="inlineStr">
        <is>
          <t>Primer periodo</t>
        </is>
      </c>
      <c r="C333" t="n">
        <v>38</v>
      </c>
      <c r="D333" t="n">
        <v>331</v>
      </c>
      <c r="E333" s="3" t="n">
        <v>45939</v>
      </c>
      <c r="F333" t="inlineStr">
        <is>
          <t>Iniciativa</t>
        </is>
      </c>
      <c r="G333" t="inlineStr">
        <is>
          <t>Dictamen con minuta Proyecto de decreto por el cual se autoriza al honorable ayuntamiento del municipio de cuautlancingo, la enajenación bajo la figura de donación a título gratuito del bien inmueble denominado lote “dos”, manzana cincuenta y uno, del conjunto habitacional denominado bosques de sanctorum</t>
        </is>
      </c>
      <c r="H333" t="n">
        <v>7</v>
      </c>
      <c r="I333" t="inlineStr">
        <is>
          <t>Impuestos, Finanzas Públicas, Patrimonio estatal y municipal</t>
        </is>
      </c>
      <c r="J333" t="n">
        <v>36</v>
      </c>
      <c r="K333" t="n">
        <v>0</v>
      </c>
      <c r="L333" t="n">
        <v>0</v>
      </c>
      <c r="M333" t="n">
        <v>5</v>
      </c>
      <c r="N333">
        <f>SUM(J333:M333)</f>
        <v/>
      </c>
      <c r="O333" s="4">
        <f>SUM(J333:L333)/SUM(J333:M333)</f>
        <v/>
      </c>
      <c r="P333" s="5">
        <f>MAX(J333:L333)/SUM(J333:L333)</f>
        <v/>
      </c>
    </row>
    <row r="334">
      <c r="A334" t="inlineStr">
        <is>
          <t>Segundo año</t>
        </is>
      </c>
      <c r="B334" t="inlineStr">
        <is>
          <t>Primer periodo</t>
        </is>
      </c>
      <c r="C334" t="n">
        <v>39</v>
      </c>
      <c r="D334" t="n">
        <v>332</v>
      </c>
      <c r="E334" s="3" t="n">
        <v>45939</v>
      </c>
      <c r="F334" t="inlineStr">
        <is>
          <t>Iniciativa</t>
        </is>
      </c>
      <c r="G334" t="inlineStr">
        <is>
          <t>Dictamen con minuta Proyecto de decreto por el cual se autoriza al honorable ayuntamiento del municipio de huatlatlauca, la enajenación bajo la figura de donación a título gratuito a favor del organismo público descentralizado denominado servicios de salud del instituto mexicano del seguro social para el bienestar (imss-bienestar)</t>
        </is>
      </c>
      <c r="H334" t="n">
        <v>6</v>
      </c>
      <c r="I334" t="inlineStr">
        <is>
          <t>Salud</t>
        </is>
      </c>
      <c r="J334" t="n">
        <v>35</v>
      </c>
      <c r="K334" t="n">
        <v>0</v>
      </c>
      <c r="L334" t="n">
        <v>1</v>
      </c>
      <c r="M334" t="n">
        <v>5</v>
      </c>
      <c r="N334">
        <f>SUM(J334:M334)</f>
        <v/>
      </c>
      <c r="O334" s="4">
        <f>SUM(J334:L334)/SUM(J334:M334)</f>
        <v/>
      </c>
      <c r="P334" s="5">
        <f>MAX(J334:L334)/SUM(J334:L334)</f>
        <v/>
      </c>
    </row>
    <row r="335">
      <c r="A335" t="inlineStr">
        <is>
          <t>Segundo año</t>
        </is>
      </c>
      <c r="B335" t="inlineStr">
        <is>
          <t>Primer periodo</t>
        </is>
      </c>
      <c r="C335" t="n">
        <v>40</v>
      </c>
      <c r="D335" t="n">
        <v>333</v>
      </c>
      <c r="E335" s="3" t="n">
        <v>45939</v>
      </c>
      <c r="F335" t="inlineStr">
        <is>
          <t>Punto de Acuerdo</t>
        </is>
      </c>
      <c r="G335" t="inlineStr">
        <is>
          <t>Acuerdo por el que se exhorta a la secretaría de educación pública del estado para que, en el ámbito de su competencia, diseñe, supervise e implemente periódicamente programas de capacitación dirigidos a los y las docentes</t>
        </is>
      </c>
      <c r="H335" t="n">
        <v>8</v>
      </c>
      <c r="I335" t="inlineStr">
        <is>
          <t>Educación y Cultura</t>
        </is>
      </c>
      <c r="J335" t="n">
        <v>37</v>
      </c>
      <c r="K335" t="n">
        <v>0</v>
      </c>
      <c r="L335" t="n">
        <v>0</v>
      </c>
      <c r="M335" t="n">
        <v>4</v>
      </c>
      <c r="N335">
        <f>SUM(J335:M335)</f>
        <v/>
      </c>
      <c r="O335" s="4">
        <f>SUM(J335:L335)/SUM(J335:M335)</f>
        <v/>
      </c>
      <c r="P335" s="5">
        <f>MAX(J335:L335)/SUM(J335:L335)</f>
        <v/>
      </c>
    </row>
    <row r="336">
      <c r="A336" t="inlineStr">
        <is>
          <t>Segundo año</t>
        </is>
      </c>
      <c r="B336" t="inlineStr">
        <is>
          <t>Primer periodo</t>
        </is>
      </c>
      <c r="C336" t="n">
        <v>41</v>
      </c>
      <c r="D336" t="n">
        <v>334</v>
      </c>
      <c r="E336" s="3" t="n">
        <v>45939</v>
      </c>
      <c r="F336" t="inlineStr">
        <is>
          <t>Punto de Acuerdo</t>
        </is>
      </c>
      <c r="G336" t="inlineStr">
        <is>
          <t>Acuerdo por el que se exhorta a la secretaría de educación pública del estado para que fomente la sostenibilidad de los materiales escolares utilizados en las escuelas durante el ciclo escolar 2025-2026</t>
        </is>
      </c>
      <c r="H336" t="n">
        <v>8</v>
      </c>
      <c r="I336" t="inlineStr">
        <is>
          <t>Educación y Cultura</t>
        </is>
      </c>
      <c r="J336" t="n">
        <v>38</v>
      </c>
      <c r="K336" t="n">
        <v>0</v>
      </c>
      <c r="L336" t="n">
        <v>0</v>
      </c>
      <c r="M336" t="n">
        <v>3</v>
      </c>
      <c r="N336">
        <f>SUM(J336:M336)</f>
        <v/>
      </c>
      <c r="O336" s="4">
        <f>SUM(J336:L336)/SUM(J336:M336)</f>
        <v/>
      </c>
      <c r="P336" s="5">
        <f>MAX(J336:L336)/SUM(J336:L336)</f>
        <v/>
      </c>
    </row>
    <row r="337">
      <c r="A337" t="inlineStr">
        <is>
          <t>Segundo año</t>
        </is>
      </c>
      <c r="B337" t="inlineStr">
        <is>
          <t>Primer periodo</t>
        </is>
      </c>
      <c r="C337" t="n">
        <v>42</v>
      </c>
      <c r="D337" t="n">
        <v>335</v>
      </c>
      <c r="E337" s="3" t="n">
        <v>45939</v>
      </c>
      <c r="F337" t="inlineStr">
        <is>
          <t>Punto de Acuerdo</t>
        </is>
      </c>
      <c r="G337" t="inlineStr">
        <is>
          <t>Acuerdo por el que se exhorta a los ayuntamientos de los municipios de atlixco, atzitzihuacán, calpan, chiautzingo, domingo arenas, huejotzingo, izúcar de matamoros, nealtican, san andrés cholula, san jerónimo tecuanipan, san martín texmelucan, san nicolás de los ranchos, san pedro cholula, santa isabel cholula, tianguismanalco y tochimilco</t>
        </is>
      </c>
      <c r="H337" t="n">
        <v>3</v>
      </c>
      <c r="I337" t="inlineStr">
        <is>
          <t>Seguridad Pública, Protección Civil y Narcotráfico</t>
        </is>
      </c>
      <c r="J337" t="n">
        <v>39</v>
      </c>
      <c r="K337" t="n">
        <v>0</v>
      </c>
      <c r="L337" t="n">
        <v>0</v>
      </c>
      <c r="M337" t="n">
        <v>2</v>
      </c>
      <c r="N337">
        <f>SUM(J337:M337)</f>
        <v/>
      </c>
      <c r="O337" s="4">
        <f>SUM(J337:L337)/SUM(J337:M337)</f>
        <v/>
      </c>
      <c r="P337" s="5">
        <f>MAX(J337:L337)/SUM(J337:L337)</f>
        <v/>
      </c>
    </row>
    <row r="338">
      <c r="A338" t="inlineStr">
        <is>
          <t>Segundo año</t>
        </is>
      </c>
      <c r="B338" t="inlineStr">
        <is>
          <t>Primer periodo</t>
        </is>
      </c>
      <c r="C338" t="n">
        <v>43</v>
      </c>
      <c r="D338" t="n">
        <v>336</v>
      </c>
      <c r="E338" s="3" t="n">
        <v>45946</v>
      </c>
      <c r="F338" t="inlineStr">
        <is>
          <t>Iniciativa</t>
        </is>
      </c>
      <c r="G338" t="inlineStr">
        <is>
          <t xml:space="preserve">Dictamen con minuta de decreto por el cual se reforman la fracción vi del artículo 5, el artículo 14, las fracciones xi y xii del 15, y el 16, y se adicionan la fracción vi bis al artículo 5, el 14 bis, las fracciones xiii, xiv y xv al 15, el 15 bis y el 15 ter de la ley de prestación de servicios para la atención, cuidado y desarrollo integral infantil del estado de </t>
        </is>
      </c>
      <c r="H338" t="n">
        <v>6</v>
      </c>
      <c r="I338" t="inlineStr">
        <is>
          <t>Salud</t>
        </is>
      </c>
      <c r="J338" t="n">
        <v>37</v>
      </c>
      <c r="K338" t="n">
        <v>0</v>
      </c>
      <c r="L338" t="n">
        <v>0</v>
      </c>
      <c r="M338" t="n">
        <v>4</v>
      </c>
      <c r="N338">
        <f>SUM(J338:M338)</f>
        <v/>
      </c>
      <c r="O338" s="4">
        <f>SUM(J338:L338)/SUM(J338:M338)</f>
        <v/>
      </c>
      <c r="P338" s="5">
        <f>MAX(J338:L338)/SUM(J338:L338)</f>
        <v/>
      </c>
    </row>
    <row r="339">
      <c r="A339" t="inlineStr">
        <is>
          <t>Segundo año</t>
        </is>
      </c>
      <c r="B339" t="inlineStr">
        <is>
          <t>Primer periodo</t>
        </is>
      </c>
      <c r="C339" t="n">
        <v>44</v>
      </c>
      <c r="D339" t="n">
        <v>337</v>
      </c>
      <c r="E339" s="3" t="n">
        <v>45946</v>
      </c>
      <c r="F339" t="inlineStr">
        <is>
          <t>Iniciativa</t>
        </is>
      </c>
      <c r="G339" t="inlineStr">
        <is>
          <t>Dictamen con minuta de decreto por el cual se reforma el decreto por el que se instituye la medalla al mérito docente “juan c. bonilla”</t>
        </is>
      </c>
      <c r="H339" t="n">
        <v>8</v>
      </c>
      <c r="I339" t="inlineStr">
        <is>
          <t>Educación y Cultura</t>
        </is>
      </c>
      <c r="J339" t="n">
        <v>37</v>
      </c>
      <c r="K339" t="n">
        <v>0</v>
      </c>
      <c r="L339" t="n">
        <v>0</v>
      </c>
      <c r="M339" t="n">
        <v>4</v>
      </c>
      <c r="N339">
        <f>SUM(J339:M339)</f>
        <v/>
      </c>
      <c r="O339" s="4">
        <f>SUM(J339:L339)/SUM(J339:M339)</f>
        <v/>
      </c>
      <c r="P339" s="5">
        <f>MAX(J339:L339)/SUM(J339:L339)</f>
        <v/>
      </c>
    </row>
    <row r="340">
      <c r="A340" t="inlineStr">
        <is>
          <t>Segundo año</t>
        </is>
      </c>
      <c r="B340" t="inlineStr">
        <is>
          <t>Primer periodo</t>
        </is>
      </c>
      <c r="C340" t="n">
        <v>45</v>
      </c>
      <c r="D340" t="n">
        <v>338</v>
      </c>
      <c r="E340" s="3" t="n">
        <v>45946</v>
      </c>
      <c r="F340" t="inlineStr">
        <is>
          <t>Iniciativa</t>
        </is>
      </c>
      <c r="G340" t="inlineStr">
        <is>
          <t xml:space="preserve">Dictamen con minuta de decreto por el cual se reforman adicionan y derogan diversas disposiciones de la ley de seguridad privada del estado libre y soberano de </t>
        </is>
      </c>
      <c r="H340" t="n">
        <v>3</v>
      </c>
      <c r="I340" t="inlineStr">
        <is>
          <t>Seguridad Pública, Protección Civil y Narcotráfico</t>
        </is>
      </c>
      <c r="J340" t="n">
        <v>37</v>
      </c>
      <c r="K340" t="n">
        <v>0</v>
      </c>
      <c r="L340" t="n">
        <v>0</v>
      </c>
      <c r="M340" t="n">
        <v>4</v>
      </c>
      <c r="N340">
        <f>SUM(J340:M340)</f>
        <v/>
      </c>
      <c r="O340" s="4">
        <f>SUM(J340:L340)/SUM(J340:M340)</f>
        <v/>
      </c>
      <c r="P340" s="5">
        <f>MAX(J340:L340)/SUM(J340:L340)</f>
        <v/>
      </c>
    </row>
    <row r="341">
      <c r="A341" t="inlineStr">
        <is>
          <t>Segundo año</t>
        </is>
      </c>
      <c r="B341" t="inlineStr">
        <is>
          <t>Primer periodo</t>
        </is>
      </c>
      <c r="C341" t="n">
        <v>46</v>
      </c>
      <c r="D341" t="n">
        <v>339</v>
      </c>
      <c r="E341" s="3" t="n">
        <v>45946</v>
      </c>
      <c r="F341" t="inlineStr">
        <is>
          <t>Iniciativa</t>
        </is>
      </c>
      <c r="G341" t="inlineStr">
        <is>
          <t xml:space="preserve">Dictamen con minuta de decreto por el cual se declara al municipio de san gabriel chilac como “capital del ajo” del estado de </t>
        </is>
      </c>
      <c r="H341" t="n">
        <v>1</v>
      </c>
      <c r="I341" t="inlineStr">
        <is>
          <t>Economía, Comercio y Competitividad</t>
        </is>
      </c>
      <c r="J341" t="n">
        <v>37</v>
      </c>
      <c r="K341" t="n">
        <v>0</v>
      </c>
      <c r="L341" t="n">
        <v>0</v>
      </c>
      <c r="M341" t="n">
        <v>4</v>
      </c>
      <c r="N341">
        <f>SUM(J341:M341)</f>
        <v/>
      </c>
      <c r="O341" s="4">
        <f>SUM(J341:L341)/SUM(J341:M341)</f>
        <v/>
      </c>
      <c r="P341" s="5">
        <f>MAX(J341:L341)/SUM(J341:L341)</f>
        <v/>
      </c>
    </row>
    <row r="342">
      <c r="A342" t="inlineStr">
        <is>
          <t>Segundo año</t>
        </is>
      </c>
      <c r="B342" t="inlineStr">
        <is>
          <t>Primer periodo</t>
        </is>
      </c>
      <c r="C342" t="n">
        <v>47</v>
      </c>
      <c r="D342" t="n">
        <v>340</v>
      </c>
      <c r="E342" s="3" t="n">
        <v>45946</v>
      </c>
      <c r="F342" t="inlineStr">
        <is>
          <t>Iniciativa</t>
        </is>
      </c>
      <c r="G342" t="inlineStr">
        <is>
          <t xml:space="preserve">Dictamen con minuta de decreto por el cual se reforma el artículo 96 bis 2 y se adiciona un tercer párrafo al artículo 73 y el artículo 96 bis 3 a la ley de los derechos de las niñas, niños y adolescentes del estado de </t>
        </is>
      </c>
      <c r="H342" t="n">
        <v>2</v>
      </c>
      <c r="I342" t="inlineStr">
        <is>
          <t>Pobreza y Política Social</t>
        </is>
      </c>
      <c r="J342" t="n">
        <v>38</v>
      </c>
      <c r="K342" t="n">
        <v>0</v>
      </c>
      <c r="L342" t="n">
        <v>0</v>
      </c>
      <c r="M342" t="n">
        <v>3</v>
      </c>
      <c r="N342">
        <f>SUM(J342:M342)</f>
        <v/>
      </c>
      <c r="O342" s="4">
        <f>SUM(J342:L342)/SUM(J342:M342)</f>
        <v/>
      </c>
      <c r="P342" s="5">
        <f>MAX(J342:L342)/SUM(J342:L342)</f>
        <v/>
      </c>
    </row>
    <row r="343">
      <c r="A343" t="inlineStr">
        <is>
          <t>Segundo año</t>
        </is>
      </c>
      <c r="B343" t="inlineStr">
        <is>
          <t>Primer periodo</t>
        </is>
      </c>
      <c r="C343" t="n">
        <v>48</v>
      </c>
      <c r="D343" t="n">
        <v>341</v>
      </c>
      <c r="E343" s="3" t="n">
        <v>45946</v>
      </c>
      <c r="F343" t="inlineStr">
        <is>
          <t>Iniciativa</t>
        </is>
      </c>
      <c r="G343" t="inlineStr">
        <is>
          <t xml:space="preserve">Dictamen con minuta de decreto por el cual se reforman el primer párrafo del artículo 497 y el artículo 498 del código civil para el estado libre y soberano de </t>
        </is>
      </c>
      <c r="H343" t="n">
        <v>14</v>
      </c>
      <c r="I343" t="inlineStr">
        <is>
          <t>Justicia y Estado de Derecho</t>
        </is>
      </c>
      <c r="J343" t="n">
        <v>38</v>
      </c>
      <c r="K343" t="n">
        <v>0</v>
      </c>
      <c r="L343" t="n">
        <v>0</v>
      </c>
      <c r="M343" t="n">
        <v>3</v>
      </c>
      <c r="N343">
        <f>SUM(J343:M343)</f>
        <v/>
      </c>
      <c r="O343" s="4">
        <f>SUM(J343:L343)/SUM(J343:M343)</f>
        <v/>
      </c>
      <c r="P343" s="5">
        <f>MAX(J343:L343)/SUM(J343:L343)</f>
        <v/>
      </c>
    </row>
    <row r="344">
      <c r="A344" t="inlineStr">
        <is>
          <t>Segundo año</t>
        </is>
      </c>
      <c r="B344" t="inlineStr">
        <is>
          <t>Primer periodo</t>
        </is>
      </c>
      <c r="C344" t="n">
        <v>49</v>
      </c>
      <c r="D344" t="n">
        <v>342</v>
      </c>
      <c r="E344" s="3" t="n">
        <v>45946</v>
      </c>
      <c r="F344" t="inlineStr">
        <is>
          <t>Iniciativa</t>
        </is>
      </c>
      <c r="G344" t="inlineStr">
        <is>
          <t xml:space="preserve">Dictamen con minuta de decreto por el cual se reforman el primer párrafo del artículo 3, el artículo 5, el primer párrafo y la fracción ii del artículo 7 de la ley de vivienda para el estado de </t>
        </is>
      </c>
      <c r="H344" t="n">
        <v>11</v>
      </c>
      <c r="I344" t="inlineStr">
        <is>
          <t>Infraestructura, Movilidad y Transporte</t>
        </is>
      </c>
      <c r="J344" t="n">
        <v>38</v>
      </c>
      <c r="K344" t="n">
        <v>0</v>
      </c>
      <c r="L344" t="n">
        <v>0</v>
      </c>
      <c r="M344" t="n">
        <v>3</v>
      </c>
      <c r="N344">
        <f>SUM(J344:M344)</f>
        <v/>
      </c>
      <c r="O344" s="4">
        <f>SUM(J344:L344)/SUM(J344:M344)</f>
        <v/>
      </c>
      <c r="P344" s="5">
        <f>MAX(J344:L344)/SUM(J344:L344)</f>
        <v/>
      </c>
    </row>
    <row r="345">
      <c r="A345" t="inlineStr">
        <is>
          <t>Segundo año</t>
        </is>
      </c>
      <c r="B345" t="inlineStr">
        <is>
          <t>Primer periodo</t>
        </is>
      </c>
      <c r="C345" t="n">
        <v>50</v>
      </c>
      <c r="D345" t="n">
        <v>343</v>
      </c>
      <c r="E345" s="3" t="n">
        <v>45946</v>
      </c>
      <c r="F345" t="inlineStr">
        <is>
          <t>Punto de Acuerdo</t>
        </is>
      </c>
      <c r="G345" t="inlineStr">
        <is>
          <t>Acuerdo por el que se exhorta a la secretaría de desarrollo económico y trabajo del estado y al sistema estatal dif para que, en el ámbito de su competencia, promuevan la incorporación de al menos el tres por ciento de personas con discapacidad en los centros de trabajo; así como para que implementen programas de capacitación que les permitan desarrollarse plena y dignamente en el ámbito laboral y profesional</t>
        </is>
      </c>
      <c r="H345" t="n">
        <v>16</v>
      </c>
      <c r="I345" t="inlineStr">
        <is>
          <t>Trabajo y Previsión Social</t>
        </is>
      </c>
      <c r="J345" t="n">
        <v>38</v>
      </c>
      <c r="K345" t="n">
        <v>0</v>
      </c>
      <c r="L345" t="n">
        <v>0</v>
      </c>
      <c r="M345" t="n">
        <v>3</v>
      </c>
      <c r="N345">
        <f>SUM(J345:M345)</f>
        <v/>
      </c>
      <c r="O345" s="4">
        <f>SUM(J345:L345)/SUM(J345:M345)</f>
        <v/>
      </c>
      <c r="P345" s="5">
        <f>MAX(J345:L345)/SUM(J345:L345)</f>
        <v/>
      </c>
    </row>
    <row r="346">
      <c r="A346" t="inlineStr">
        <is>
          <t>Segundo año</t>
        </is>
      </c>
      <c r="B346" t="inlineStr">
        <is>
          <t>Primer periodo</t>
        </is>
      </c>
      <c r="C346" t="n">
        <v>51</v>
      </c>
      <c r="D346" t="n">
        <v>344</v>
      </c>
      <c r="E346" s="3" t="n">
        <v>45946</v>
      </c>
      <c r="F346" t="inlineStr">
        <is>
          <t>Punto de Acuerdo</t>
        </is>
      </c>
      <c r="G346" t="inlineStr">
        <is>
          <t>Acuerdo por el que se exhorta a la secretaría de hacienda y crédito público federal, para que considere la inclusión del estado de en el “programa de regularización de vehículos usados de procedencia extranjera”, en atención al índice de vehículos extranjeros introducidos en la entidad en condiciones de irregularidad, con el fin de otorgar certeza jurídica a las personas propietarias, fortalecer la seguridad pública mediante el control vehicular, y contribuir al orden fiscal y administrativo en el estado</t>
        </is>
      </c>
      <c r="H346" t="n">
        <v>7</v>
      </c>
      <c r="I346" t="inlineStr">
        <is>
          <t>Impuestos, Finanzas Públicas, Patrimonio estatal y municipal</t>
        </is>
      </c>
      <c r="J346" t="n">
        <v>38</v>
      </c>
      <c r="K346" t="n">
        <v>0</v>
      </c>
      <c r="L346" t="n">
        <v>0</v>
      </c>
      <c r="M346" t="n">
        <v>3</v>
      </c>
      <c r="N346">
        <f>SUM(J346:M346)</f>
        <v/>
      </c>
      <c r="O346" s="4">
        <f>SUM(J346:L346)/SUM(J346:M346)</f>
        <v/>
      </c>
      <c r="P346" s="5">
        <f>MAX(J346:L346)/SUM(J346:L346)</f>
        <v/>
      </c>
    </row>
    <row r="347">
      <c r="A347" t="inlineStr">
        <is>
          <t>Segundo año</t>
        </is>
      </c>
      <c r="B347" t="inlineStr">
        <is>
          <t>Primer periodo</t>
        </is>
      </c>
      <c r="C347" t="n">
        <v>52</v>
      </c>
      <c r="D347" t="n">
        <v>345</v>
      </c>
      <c r="E347" s="3" t="n">
        <v>45946</v>
      </c>
      <c r="F347" t="inlineStr">
        <is>
          <t>Punto de Acuerdo</t>
        </is>
      </c>
      <c r="G347" t="inlineStr">
        <is>
          <t>Acuerdo por el que se exhorta al sistema para el desarrollo integral de la familia, y a los doscientos doce ayuntamientos y cinco concejos municipales del estado, para que, de manera coordinada y en el ámbito de su competencia, implementen acciones para disminuir y erradicar la crisis de personas en situación de calle, en especial de niñas, niños y adolescentes, a través del diseño e implementación de programas de prevención y atención que incluyan la instalación de albergues; acceso a servicios de salud y alimentación; la reinserción laboral y social, así como campañas de sensibilización ciudadana para fortalecer la inclusión y el respeto de los derechos humanos</t>
        </is>
      </c>
      <c r="H347" t="n">
        <v>2</v>
      </c>
      <c r="I347" t="inlineStr">
        <is>
          <t>Pobreza y Política Social</t>
        </is>
      </c>
      <c r="J347" t="n">
        <v>38</v>
      </c>
      <c r="K347" t="n">
        <v>0</v>
      </c>
      <c r="L347" t="n">
        <v>0</v>
      </c>
      <c r="M347" t="n">
        <v>3</v>
      </c>
      <c r="N347">
        <f>SUM(J347:M347)</f>
        <v/>
      </c>
      <c r="O347" s="4">
        <f>SUM(J347:L347)/SUM(J347:M347)</f>
        <v/>
      </c>
      <c r="P347" s="5">
        <f>MAX(J347:L347)/SUM(J347:L347)</f>
        <v/>
      </c>
    </row>
    <row r="348">
      <c r="A348" t="inlineStr">
        <is>
          <t>Segundo año</t>
        </is>
      </c>
      <c r="B348" t="inlineStr">
        <is>
          <t>Primer periodo</t>
        </is>
      </c>
      <c r="C348" t="n">
        <v>53</v>
      </c>
      <c r="D348" t="n">
        <v>346</v>
      </c>
      <c r="E348" s="3" t="n">
        <v>45946</v>
      </c>
      <c r="F348" t="inlineStr">
        <is>
          <t>Punto de Acuerdo</t>
        </is>
      </c>
      <c r="G348" t="inlineStr">
        <is>
          <t>Acuerdo por el cual se concede licencia a la ciudadana laura artemisa garcía chávez, para separarse del cargo de diputada local de la sexagésima segunda legislatura por tiempo indefinido mayor a treinta días, a partir del dieciséis de octubre del año en curso</t>
        </is>
      </c>
      <c r="H348" t="n">
        <v>19</v>
      </c>
      <c r="I348" t="inlineStr">
        <is>
          <t>Internos del Congreso</t>
        </is>
      </c>
      <c r="J348" t="n">
        <v>38</v>
      </c>
      <c r="K348" t="n">
        <v>0</v>
      </c>
      <c r="L348" t="n">
        <v>0</v>
      </c>
      <c r="M348" t="n">
        <v>3</v>
      </c>
      <c r="N348">
        <f>SUM(J348:M348)</f>
        <v/>
      </c>
      <c r="O348" s="4">
        <f>SUM(J348:L348)/SUM(J348:M348)</f>
        <v/>
      </c>
      <c r="P348" s="5">
        <f>MAX(J348:L348)/SUM(J348:L348)</f>
        <v/>
      </c>
    </row>
    <row r="349">
      <c r="A349" t="inlineStr">
        <is>
          <t>Segundo año</t>
        </is>
      </c>
      <c r="B349" t="inlineStr">
        <is>
          <t>Primer periodo</t>
        </is>
      </c>
      <c r="C349" t="n">
        <v>54</v>
      </c>
      <c r="D349" t="n">
        <v>347</v>
      </c>
      <c r="E349" s="3" t="n">
        <v>45953</v>
      </c>
      <c r="F349" t="inlineStr">
        <is>
          <t>Punto de Acuerdo</t>
        </is>
      </c>
      <c r="G349" t="inlineStr">
        <is>
          <t>Acuerdo por el cual designar al presidente de la Junta de Gobierno y Coordinación Política</t>
        </is>
      </c>
      <c r="H349" t="n">
        <v>19</v>
      </c>
      <c r="I349" t="inlineStr">
        <is>
          <t>Internos del Congreso</t>
        </is>
      </c>
      <c r="J349" t="n">
        <v>36</v>
      </c>
      <c r="K349" t="n">
        <v>0</v>
      </c>
      <c r="L349" t="n">
        <v>0</v>
      </c>
      <c r="M349" t="n">
        <v>5</v>
      </c>
      <c r="N349">
        <f>SUM(J349:M349)</f>
        <v/>
      </c>
      <c r="O349" s="4">
        <f>SUM(J349:L349)/SUM(J349:M349)</f>
        <v/>
      </c>
      <c r="P349" s="5">
        <f>MAX(J349:L349)/SUM(J349:L349)</f>
        <v/>
      </c>
    </row>
    <row r="350">
      <c r="A350" t="inlineStr">
        <is>
          <t>Segundo año</t>
        </is>
      </c>
      <c r="B350" t="inlineStr">
        <is>
          <t>Primer periodo</t>
        </is>
      </c>
      <c r="C350" t="n">
        <v>55</v>
      </c>
      <c r="D350" t="n">
        <v>348</v>
      </c>
      <c r="E350" s="3" t="n">
        <v>45953</v>
      </c>
      <c r="F350" t="inlineStr">
        <is>
          <t>Iniciativa</t>
        </is>
      </c>
      <c r="G350" t="inlineStr">
        <is>
          <t>Dictamen con minuta de decreto por el cual se reforman las fracciones III y IV y se adiciona la fracción V al artículo 1 de la Ley de Cultura del Estado</t>
        </is>
      </c>
      <c r="H350" t="n">
        <v>8</v>
      </c>
      <c r="I350" t="inlineStr">
        <is>
          <t>Educación y Cultura</t>
        </is>
      </c>
      <c r="J350" t="n">
        <v>38</v>
      </c>
      <c r="K350" t="n">
        <v>0</v>
      </c>
      <c r="L350" t="n">
        <v>0</v>
      </c>
      <c r="M350" t="n">
        <v>3</v>
      </c>
      <c r="N350">
        <f>SUM(J350:M350)</f>
        <v/>
      </c>
      <c r="O350" s="4">
        <f>SUM(J350:L350)/SUM(J350:M350)</f>
        <v/>
      </c>
      <c r="P350" s="5">
        <f>MAX(J350:L350)/SUM(J350:L350)</f>
        <v/>
      </c>
    </row>
    <row r="351">
      <c r="A351" t="inlineStr">
        <is>
          <t>Segundo año</t>
        </is>
      </c>
      <c r="B351" t="inlineStr">
        <is>
          <t>Primer periodo</t>
        </is>
      </c>
      <c r="C351" t="n">
        <v>56</v>
      </c>
      <c r="D351" t="n">
        <v>349</v>
      </c>
      <c r="E351" s="3" t="n">
        <v>45953</v>
      </c>
      <c r="F351" t="inlineStr">
        <is>
          <t>Punto de Acuerdo</t>
        </is>
      </c>
      <c r="G351" t="inlineStr">
        <is>
          <t>Acuerdo por el que se exhorta a la Dirección General del Registro del Estado Civil de las Personas</t>
        </is>
      </c>
      <c r="H351" t="n">
        <v>18</v>
      </c>
      <c r="I351" t="inlineStr">
        <is>
          <t>Administración Pública</t>
        </is>
      </c>
      <c r="J351" t="n">
        <v>38</v>
      </c>
      <c r="K351" t="n">
        <v>0</v>
      </c>
      <c r="L351" t="n">
        <v>0</v>
      </c>
      <c r="M351" t="n">
        <v>3</v>
      </c>
      <c r="N351">
        <f>SUM(J351:M351)</f>
        <v/>
      </c>
      <c r="O351" s="4">
        <f>SUM(J351:L351)/SUM(J351:M351)</f>
        <v/>
      </c>
      <c r="P351" s="5">
        <f>MAX(J351:L351)/SUM(J351:L351)</f>
        <v/>
      </c>
    </row>
    <row r="352">
      <c r="A352" t="inlineStr">
        <is>
          <t>Segundo año</t>
        </is>
      </c>
      <c r="B352" t="inlineStr">
        <is>
          <t>Primer periodo</t>
        </is>
      </c>
      <c r="C352" t="n">
        <v>57</v>
      </c>
      <c r="D352" t="n">
        <v>350</v>
      </c>
      <c r="E352" s="3" t="n">
        <v>45953</v>
      </c>
      <c r="F352" t="inlineStr">
        <is>
          <t>Punto de Acuerdo</t>
        </is>
      </c>
      <c r="G352" t="inlineStr">
        <is>
          <t>Acuerdo por el que se exhorta a la Procuraduría Federal del Consumidor</t>
        </is>
      </c>
      <c r="H352" t="n">
        <v>1</v>
      </c>
      <c r="I352" t="inlineStr">
        <is>
          <t>Economía, Comercio y Competitividad</t>
        </is>
      </c>
      <c r="J352" t="n">
        <v>38</v>
      </c>
      <c r="K352" t="n">
        <v>0</v>
      </c>
      <c r="L352" t="n">
        <v>0</v>
      </c>
      <c r="M352" t="n">
        <v>3</v>
      </c>
      <c r="N352">
        <f>SUM(J352:M352)</f>
        <v/>
      </c>
      <c r="O352" s="4">
        <f>SUM(J352:L352)/SUM(J352:M352)</f>
        <v/>
      </c>
      <c r="P352" s="5">
        <f>MAX(J352:L352)/SUM(J352:L352)</f>
        <v/>
      </c>
    </row>
    <row r="353">
      <c r="A353" t="inlineStr">
        <is>
          <t>Segundo año</t>
        </is>
      </c>
      <c r="B353" t="inlineStr">
        <is>
          <t>Primer periodo</t>
        </is>
      </c>
      <c r="C353" t="n">
        <v>58</v>
      </c>
      <c r="D353" t="n">
        <v>351</v>
      </c>
      <c r="E353" s="3" t="n">
        <v>45953</v>
      </c>
      <c r="F353" t="inlineStr">
        <is>
          <t>Punto de Acuerdo</t>
        </is>
      </c>
      <c r="G353" t="inlineStr">
        <is>
          <t>Acuerdo por el que se exhorta a la Comisión de Derechos Humanos del Estado</t>
        </is>
      </c>
      <c r="H353" t="n">
        <v>14</v>
      </c>
      <c r="I353" t="inlineStr">
        <is>
          <t>Justicia y Estado de Derecho</t>
        </is>
      </c>
      <c r="J353" t="n">
        <v>38</v>
      </c>
      <c r="K353" t="n">
        <v>0</v>
      </c>
      <c r="L353" t="n">
        <v>0</v>
      </c>
      <c r="M353" t="n">
        <v>3</v>
      </c>
      <c r="N353">
        <f>SUM(J353:M353)</f>
        <v/>
      </c>
      <c r="O353" s="4">
        <f>SUM(J353:L353)/SUM(J353:M353)</f>
        <v/>
      </c>
      <c r="P353" s="5">
        <f>MAX(J353:L353)/SUM(J353:L353)</f>
        <v/>
      </c>
    </row>
    <row r="354">
      <c r="A354" t="inlineStr">
        <is>
          <t>Segundo año</t>
        </is>
      </c>
      <c r="B354" t="inlineStr">
        <is>
          <t>Primer periodo</t>
        </is>
      </c>
      <c r="C354" t="n">
        <v>59</v>
      </c>
      <c r="D354" t="n">
        <v>352</v>
      </c>
      <c r="E354" s="3" t="n">
        <v>45953</v>
      </c>
      <c r="F354" t="inlineStr">
        <is>
          <t>Punto de Acuerdo</t>
        </is>
      </c>
      <c r="G354" t="inlineStr">
        <is>
          <t>Acuerdo por el que se exhorta a la Secretaría de Desarrollo Económico y Trabajo</t>
        </is>
      </c>
      <c r="H354" t="n">
        <v>1</v>
      </c>
      <c r="I354" t="inlineStr">
        <is>
          <t>Economía, Comercio y Competitividad</t>
        </is>
      </c>
      <c r="J354" t="n">
        <v>39</v>
      </c>
      <c r="K354" t="n">
        <v>0</v>
      </c>
      <c r="L354" t="n">
        <v>0</v>
      </c>
      <c r="M354" t="n">
        <v>2</v>
      </c>
      <c r="N354">
        <f>SUM(J354:M354)</f>
        <v/>
      </c>
      <c r="O354" s="4">
        <f>SUM(J354:L354)/SUM(J354:M354)</f>
        <v/>
      </c>
      <c r="P354" s="5">
        <f>MAX(J354:L354)/SUM(J354:L354)</f>
        <v/>
      </c>
    </row>
    <row r="355">
      <c r="A355" t="inlineStr">
        <is>
          <t>Segundo año</t>
        </is>
      </c>
      <c r="B355" t="inlineStr">
        <is>
          <t>Primer periodo</t>
        </is>
      </c>
      <c r="C355" t="n">
        <v>60</v>
      </c>
      <c r="D355" t="n">
        <v>353</v>
      </c>
      <c r="E355" s="3" t="n">
        <v>45953</v>
      </c>
      <c r="F355" t="inlineStr">
        <is>
          <t>Punto de Acuerdo</t>
        </is>
      </c>
      <c r="G355" t="inlineStr">
        <is>
          <t>Acuerdo por el que se exhorta a la Secretaría de Medio Ambiente, Desarrollo Sustentable y Ordenamiento Territorial del Estado</t>
        </is>
      </c>
      <c r="H355" t="n">
        <v>5</v>
      </c>
      <c r="I355" t="inlineStr">
        <is>
          <t>Medio Ambiente</t>
        </is>
      </c>
      <c r="J355" t="n">
        <v>39</v>
      </c>
      <c r="K355" t="n">
        <v>0</v>
      </c>
      <c r="L355" t="n">
        <v>0</v>
      </c>
      <c r="M355" t="n">
        <v>2</v>
      </c>
      <c r="N355">
        <f>SUM(J355:M355)</f>
        <v/>
      </c>
      <c r="O355" s="4">
        <f>SUM(J355:L355)/SUM(J355:M355)</f>
        <v/>
      </c>
      <c r="P355" s="5">
        <f>MAX(J355:L355)/SUM(J355:L355)</f>
        <v/>
      </c>
    </row>
    <row r="356">
      <c r="A356" t="inlineStr">
        <is>
          <t>Segundo año</t>
        </is>
      </c>
      <c r="B356" t="inlineStr">
        <is>
          <t>Primer periodo</t>
        </is>
      </c>
      <c r="C356" t="n">
        <v>61</v>
      </c>
      <c r="D356" t="n">
        <v>354</v>
      </c>
      <c r="E356" s="3" t="n">
        <v>45959</v>
      </c>
      <c r="F356" t="inlineStr">
        <is>
          <t>Punto de Acuerdo</t>
        </is>
      </c>
      <c r="G356" t="inlineStr">
        <is>
          <t>Acuerdo por el cual la sustitución de una vicepresidencia y de una secretaría de la mesa directiva en funciones</t>
        </is>
      </c>
      <c r="H356" t="n">
        <v>19</v>
      </c>
      <c r="I356" t="inlineStr">
        <is>
          <t>Internos del Congreso</t>
        </is>
      </c>
      <c r="J356" t="n">
        <v>37</v>
      </c>
      <c r="K356" t="n">
        <v>0</v>
      </c>
      <c r="L356" t="n">
        <v>0</v>
      </c>
      <c r="M356" t="n">
        <v>0</v>
      </c>
      <c r="N356">
        <f>SUM(J356:M356)</f>
        <v/>
      </c>
      <c r="O356" s="4">
        <f>SUM(J356:L356)/SUM(J356:M356)</f>
        <v/>
      </c>
      <c r="P356" s="5">
        <f>MAX(J356:L356)/SUM(J356:L356)</f>
        <v/>
      </c>
    </row>
    <row r="357">
      <c r="A357" t="inlineStr">
        <is>
          <t>Segundo año</t>
        </is>
      </c>
      <c r="B357" t="inlineStr">
        <is>
          <t>Primer periodo</t>
        </is>
      </c>
      <c r="C357" t="n">
        <v>62</v>
      </c>
      <c r="D357" t="n">
        <v>355</v>
      </c>
      <c r="E357" s="3" t="n">
        <v>45959</v>
      </c>
      <c r="F357" t="inlineStr">
        <is>
          <t>Punto de Acuerdo</t>
        </is>
      </c>
      <c r="G357" t="inlineStr">
        <is>
          <t>Acuerdo para la elección e integración de la sustitución e integración de las presidencias, secretaría y vocalías de nueve comisiones generales</t>
        </is>
      </c>
      <c r="H357" t="n">
        <v>19</v>
      </c>
      <c r="I357" t="inlineStr">
        <is>
          <t>Internos del Congreso</t>
        </is>
      </c>
      <c r="J357" t="n">
        <v>38</v>
      </c>
      <c r="K357" t="n">
        <v>0</v>
      </c>
      <c r="L357" t="n">
        <v>0</v>
      </c>
      <c r="M357" t="n">
        <v>0</v>
      </c>
      <c r="N357">
        <f>SUM(J357:M357)</f>
        <v/>
      </c>
      <c r="O357" s="4">
        <f>SUM(J357:L357)/SUM(J357:M357)</f>
        <v/>
      </c>
      <c r="P357" s="5">
        <f>MAX(J357:L357)/SUM(J357:L357)</f>
        <v/>
      </c>
    </row>
    <row r="358">
      <c r="A358" t="inlineStr">
        <is>
          <t>Segundo año</t>
        </is>
      </c>
      <c r="B358" t="inlineStr">
        <is>
          <t>Primer periodo</t>
        </is>
      </c>
      <c r="C358" t="n">
        <v>63</v>
      </c>
      <c r="D358" t="n">
        <v>356</v>
      </c>
      <c r="E358" s="3" t="n">
        <v>45959</v>
      </c>
      <c r="F358" t="inlineStr">
        <is>
          <t>Punto de Acuerdo</t>
        </is>
      </c>
      <c r="G358" t="inlineStr">
        <is>
          <t>Acuerdo que contiene la propuesta el proyecto de presupuesto de egresos para el ejercicio fiscal dos mil veintiséis del honorable congreso del estado y de la auditoría superior del estado</t>
        </is>
      </c>
      <c r="H358" t="n">
        <v>7</v>
      </c>
      <c r="I358" t="inlineStr">
        <is>
          <t>Impuestos, Finanzas Públicas, Patrimonio estatal y municipal</t>
        </is>
      </c>
      <c r="J358" t="n">
        <v>38</v>
      </c>
      <c r="K358" t="n">
        <v>0</v>
      </c>
      <c r="L358" t="n">
        <v>1</v>
      </c>
      <c r="M358" t="n">
        <v>0</v>
      </c>
      <c r="N358">
        <f>SUM(J358:M358)</f>
        <v/>
      </c>
      <c r="O358" s="4">
        <f>SUM(J358:L358)/SUM(J358:M358)</f>
        <v/>
      </c>
      <c r="P358" s="5">
        <f>MAX(J358:L358)/SUM(J358:L358)</f>
        <v/>
      </c>
    </row>
    <row r="359">
      <c r="A359" t="inlineStr">
        <is>
          <t>Segundo año</t>
        </is>
      </c>
      <c r="B359" t="inlineStr">
        <is>
          <t>Primer periodo</t>
        </is>
      </c>
      <c r="C359" t="n">
        <v>64</v>
      </c>
      <c r="D359" t="n">
        <v>357</v>
      </c>
      <c r="E359" s="3" t="n">
        <v>45959</v>
      </c>
      <c r="F359" t="inlineStr">
        <is>
          <t>Iniciativa</t>
        </is>
      </c>
      <c r="G359" t="inlineStr">
        <is>
          <t>Dictamen con minuta de decreto por el cual se reforman las fracciones VI y VII y se adiciona la fracción VIII al artículo 3 de la ley de la juventud para el estado de</t>
        </is>
      </c>
      <c r="H359" t="n">
        <v>18</v>
      </c>
      <c r="I359" t="inlineStr">
        <is>
          <t>Administración Pública</t>
        </is>
      </c>
      <c r="J359" t="n">
        <v>39</v>
      </c>
      <c r="K359" t="n">
        <v>0</v>
      </c>
      <c r="L359" t="n">
        <v>0</v>
      </c>
      <c r="M359" t="n">
        <v>0</v>
      </c>
      <c r="N359">
        <f>SUM(J359:M359)</f>
        <v/>
      </c>
      <c r="O359" s="4">
        <f>SUM(J359:L359)/SUM(J359:M359)</f>
        <v/>
      </c>
      <c r="P359" s="5">
        <f>MAX(J359:L359)/SUM(J359:L359)</f>
        <v/>
      </c>
    </row>
    <row r="360">
      <c r="A360" t="inlineStr">
        <is>
          <t>Segundo año</t>
        </is>
      </c>
      <c r="B360" t="inlineStr">
        <is>
          <t>Primer periodo</t>
        </is>
      </c>
      <c r="C360" t="n">
        <v>65</v>
      </c>
      <c r="D360" t="n">
        <v>358</v>
      </c>
      <c r="E360" s="3" t="n">
        <v>45959</v>
      </c>
      <c r="F360" t="inlineStr">
        <is>
          <t>Iniciativa</t>
        </is>
      </c>
      <c r="G360" t="inlineStr">
        <is>
          <t>Dictamen con minuta de decreto por el cual se adiciona la fracción XI bis al artículo 18 de la ley estatal del deporte</t>
        </is>
      </c>
      <c r="H360" t="n">
        <v>8</v>
      </c>
      <c r="I360" t="inlineStr">
        <is>
          <t>Educación y Cultura</t>
        </is>
      </c>
      <c r="J360" t="n">
        <v>39</v>
      </c>
      <c r="K360" t="n">
        <v>0</v>
      </c>
      <c r="L360" t="n">
        <v>0</v>
      </c>
      <c r="M360" t="n">
        <v>0</v>
      </c>
      <c r="N360">
        <f>SUM(J360:M360)</f>
        <v/>
      </c>
      <c r="O360" s="4">
        <f>SUM(J360:L360)/SUM(J360:M360)</f>
        <v/>
      </c>
      <c r="P360" s="5">
        <f>MAX(J360:L360)/SUM(J360:L360)</f>
        <v/>
      </c>
    </row>
    <row r="361">
      <c r="A361" t="inlineStr">
        <is>
          <t>Segundo año</t>
        </is>
      </c>
      <c r="B361" t="inlineStr">
        <is>
          <t>Primer periodo</t>
        </is>
      </c>
      <c r="C361" t="n">
        <v>66</v>
      </c>
      <c r="D361" t="n">
        <v>359</v>
      </c>
      <c r="E361" s="3" t="n">
        <v>45959</v>
      </c>
      <c r="F361" t="inlineStr">
        <is>
          <t>Punto de Acuerdo</t>
        </is>
      </c>
      <c r="G361" t="inlineStr">
        <is>
          <t>Acuerdo por el que se exhorta a la secretaría de gobernación del estado, para que a través de la dirección general del registro del estado civil de las personas, implemente programas de difusión accesible, tanto en español como en las lenguas originarias habladas en la entidad, en materia de matrimonio entre personas del mismo sexo; así como para que diseñe e implemente capacitaciones con enfoque de derechos humanos, igualdad y no discriminación, dirigidas a jueces y juezas del registro del estado civil y a su personal auxiliar</t>
        </is>
      </c>
      <c r="H361" t="n">
        <v>14</v>
      </c>
      <c r="I361" t="inlineStr">
        <is>
          <t>Justicia y Estado de Derecho</t>
        </is>
      </c>
      <c r="J361" t="n">
        <v>35</v>
      </c>
      <c r="K361" t="n">
        <v>0</v>
      </c>
      <c r="L361" t="n">
        <v>4</v>
      </c>
      <c r="M361" t="n">
        <v>0</v>
      </c>
      <c r="N361">
        <f>SUM(J361:M361)</f>
        <v/>
      </c>
      <c r="O361" s="4">
        <f>SUM(J361:L361)/SUM(J361:M361)</f>
        <v/>
      </c>
      <c r="P361" s="5">
        <f>MAX(J361:L361)/SUM(J361:L361)</f>
        <v/>
      </c>
    </row>
    <row r="362">
      <c r="A362" t="inlineStr">
        <is>
          <t>Segundo año</t>
        </is>
      </c>
      <c r="B362" t="inlineStr">
        <is>
          <t>Primer periodo</t>
        </is>
      </c>
      <c r="C362" t="n">
        <v>67</v>
      </c>
      <c r="D362" t="n">
        <v>360</v>
      </c>
      <c r="E362" s="3" t="n">
        <v>45959</v>
      </c>
      <c r="F362" t="inlineStr">
        <is>
          <t>Punto de Acuerdo</t>
        </is>
      </c>
      <c r="G362" t="inlineStr">
        <is>
          <t>Acuerdo por el que se exhorta a los doscientos doce ayuntamientos y cinco concejos municipales del estado, para que a través de sus contralorías u órganos internos de control y en términos de lo dispuesto por la ley general de responsabilidades administrativas, promuevan y vigilen que sus servidoras y servidores públicos observen en el ejercicio de sus funciones, los principios de disciplina, legalidad, objetividad, profesionalismo, honradez, lealtad, imparcialidad, integridad, rendición de cuentas, eficacia, eficiencia y racionalidad, a fin de otorgar a la ciudadanía una atención adecuada y servicios de calidad; así como para que den seguimiento a las quejas y denuncias relacionadas con sus acciones y omisiones para fortalecer la función administrativa y la confianza ciudadana en las instituciones públicas</t>
        </is>
      </c>
      <c r="H362" t="n">
        <v>10</v>
      </c>
      <c r="I362" t="inlineStr">
        <is>
          <t>Transparencia y Rendición de Cuentas</t>
        </is>
      </c>
      <c r="J362" t="n">
        <v>39</v>
      </c>
      <c r="K362" t="n">
        <v>0</v>
      </c>
      <c r="L362" t="n">
        <v>0</v>
      </c>
      <c r="M362" t="n">
        <v>0</v>
      </c>
      <c r="N362">
        <f>SUM(J362:M362)</f>
        <v/>
      </c>
      <c r="O362" s="4">
        <f>SUM(J362:L362)/SUM(J362:M362)</f>
        <v/>
      </c>
      <c r="P362" s="5">
        <f>MAX(J362:L362)/SUM(J362:L362)</f>
        <v/>
      </c>
    </row>
    <row r="363">
      <c r="A363" t="inlineStr">
        <is>
          <t>Segundo año</t>
        </is>
      </c>
      <c r="B363" t="inlineStr">
        <is>
          <t>Primer periodo</t>
        </is>
      </c>
      <c r="C363" t="n">
        <v>68</v>
      </c>
      <c r="D363" t="n">
        <v>361</v>
      </c>
      <c r="E363" s="3" t="n">
        <v>45959</v>
      </c>
      <c r="F363" t="inlineStr">
        <is>
          <t>Punto de Acuerdo</t>
        </is>
      </c>
      <c r="G363" t="inlineStr">
        <is>
          <t>Acuerdo por el que se exhorta a la secretaría de seguridad pública del estado y a la secretaría de seguridad ciudadana del municipio de, para que, de manera conjunta y en el ámbito de su competencia, refuercen de manera integral la prevención, combate y disminución de la incidencia delictiva en la entidad, con especial atención en las zonas de los distritos locales segundo y décimo primero, respectivamente</t>
        </is>
      </c>
      <c r="H363" t="n">
        <v>3</v>
      </c>
      <c r="I363" t="inlineStr">
        <is>
          <t>Seguridad Pública, Protección Civil y Narcotráfico</t>
        </is>
      </c>
      <c r="J363" t="n">
        <v>39</v>
      </c>
      <c r="K363" t="n">
        <v>0</v>
      </c>
      <c r="L363" t="n">
        <v>0</v>
      </c>
      <c r="M363" t="n">
        <v>0</v>
      </c>
      <c r="N363">
        <f>SUM(J363:M363)</f>
        <v/>
      </c>
      <c r="O363" s="4">
        <f>SUM(J363:L363)/SUM(J363:M363)</f>
        <v/>
      </c>
      <c r="P363" s="5">
        <f>MAX(J363:L363)/SUM(J363:L363)</f>
        <v/>
      </c>
    </row>
    <row r="364">
      <c r="A364" t="inlineStr">
        <is>
          <t>Segundo año</t>
        </is>
      </c>
      <c r="B364" t="inlineStr">
        <is>
          <t>Primer periodo</t>
        </is>
      </c>
      <c r="C364" t="n">
        <v>69</v>
      </c>
      <c r="D364" t="n">
        <v>362</v>
      </c>
      <c r="E364" s="3" t="n">
        <v>45959</v>
      </c>
      <c r="F364" t="inlineStr">
        <is>
          <t>Punto de Acuerdo</t>
        </is>
      </c>
      <c r="G364" t="inlineStr">
        <is>
          <t>Acuerdo por el que se exhorta a la procuraduría federal del consumidor delegación, para que en el ámbito de sus atribuciones, implemente campañas informativas a través de sus plataformas digitales, con el fin de dar a conocer a las personas consumidoras que ningún establecimiento prestador de servicios puede exigir el pago de propina ni fijar su monto; así como a informar sobre los mecanismos disponibles para interponer quejas y denuncias en caso de incumplimiento</t>
        </is>
      </c>
      <c r="H364" t="n">
        <v>1</v>
      </c>
      <c r="I364" t="inlineStr">
        <is>
          <t>Economía, Comercio y Competitividad</t>
        </is>
      </c>
      <c r="J364" t="n">
        <v>39</v>
      </c>
      <c r="K364" t="n">
        <v>0</v>
      </c>
      <c r="L364" t="n">
        <v>0</v>
      </c>
      <c r="M364" t="n">
        <v>0</v>
      </c>
      <c r="N364">
        <f>SUM(J364:M364)</f>
        <v/>
      </c>
      <c r="O364" s="4">
        <f>SUM(J364:L364)/SUM(J364:M364)</f>
        <v/>
      </c>
      <c r="P364" s="5">
        <f>MAX(J364:L364)/SUM(J364:L364)</f>
        <v/>
      </c>
    </row>
    <row r="365">
      <c r="A365" t="inlineStr">
        <is>
          <t>Segundo año</t>
        </is>
      </c>
      <c r="B365" t="inlineStr">
        <is>
          <t>Primer periodo</t>
        </is>
      </c>
      <c r="C365" t="n">
        <v>70</v>
      </c>
      <c r="D365" t="n">
        <v>363</v>
      </c>
      <c r="E365" s="3" t="n">
        <v>45967</v>
      </c>
      <c r="F365" t="inlineStr">
        <is>
          <t>Iniciativa</t>
        </is>
      </c>
      <c r="G365" t="inlineStr">
        <is>
          <t>Dictamen con minuta de decreto por el cual se reforman los artículos 11, 14, 16, 18 fracción xiii, 21, 22 fracción iii, 24 y 25 del decreto que crea el organismo público descentralizado denominado “corporación auxiliar de policía de protección ciudadana”</t>
        </is>
      </c>
      <c r="H365" t="n">
        <v>3</v>
      </c>
      <c r="I365" t="inlineStr">
        <is>
          <t>Seguridad Pública, Protección Civil y Narcotráfico</t>
        </is>
      </c>
      <c r="J365" t="n">
        <v>39</v>
      </c>
      <c r="K365" t="n">
        <v>0</v>
      </c>
      <c r="L365" t="n">
        <v>0</v>
      </c>
      <c r="M365" t="n">
        <v>2</v>
      </c>
      <c r="N365">
        <f>SUM(J365:M365)</f>
        <v/>
      </c>
      <c r="O365" s="4">
        <f>SUM(J365:L365)/SUM(J365:M365)</f>
        <v/>
      </c>
      <c r="P365" s="5">
        <f>MAX(J365:L365)/SUM(J365:L365)</f>
        <v/>
      </c>
    </row>
    <row r="366">
      <c r="A366" t="inlineStr">
        <is>
          <t>Segundo año</t>
        </is>
      </c>
      <c r="B366" t="inlineStr">
        <is>
          <t>Primer periodo</t>
        </is>
      </c>
      <c r="C366" t="n">
        <v>71</v>
      </c>
      <c r="D366" t="n">
        <v>364</v>
      </c>
      <c r="E366" s="3" t="n">
        <v>45967</v>
      </c>
      <c r="F366" t="inlineStr">
        <is>
          <t>Iniciativa</t>
        </is>
      </c>
      <c r="G366" t="inlineStr">
        <is>
          <t>Dictamen con minuta de decreto por el cual se reforman las fracciones i y vii del artículo 3, la fracción xxv del artículo 4, las fracciones ii y iii del artículo 5, las fracciones i, ii y iii del artículo 6, el segundo párrafo del artículo 8, el acápite del artículo 9, las fracciones ii, iii, v, vi, vii, xiv, xv, xviii, xix y xxii del artículo 10, el artículo 11, el acápite del artículo 12, el acápite y las fracciones i, x, xi, xix y xxi del artículo 13, las fracciones ii y iii y el último párrafo del artículo 14, el acápite y la fracción i del artículo 15, y, se derogan las fracciones iv, v, vi, vii, viii y ix del artículo 5, todos del decreto del honorable congreso del estado, por el que crea la universidad tecnológica bilingüe internacional y sustentable de</t>
        </is>
      </c>
      <c r="H366" t="n">
        <v>8</v>
      </c>
      <c r="I366" t="inlineStr">
        <is>
          <t>Educación y Cultura</t>
        </is>
      </c>
      <c r="J366" t="n">
        <v>39</v>
      </c>
      <c r="K366" t="n">
        <v>0</v>
      </c>
      <c r="L366" t="n">
        <v>0</v>
      </c>
      <c r="M366" t="n">
        <v>2</v>
      </c>
      <c r="N366">
        <f>SUM(J366:M366)</f>
        <v/>
      </c>
      <c r="O366" s="4">
        <f>SUM(J366:L366)/SUM(J366:M366)</f>
        <v/>
      </c>
      <c r="P366" s="5">
        <f>MAX(J366:L366)/SUM(J366:L366)</f>
        <v/>
      </c>
    </row>
    <row r="367">
      <c r="A367" t="inlineStr">
        <is>
          <t>Segundo año</t>
        </is>
      </c>
      <c r="B367" t="inlineStr">
        <is>
          <t>Primer periodo</t>
        </is>
      </c>
      <c r="C367" t="n">
        <v>72</v>
      </c>
      <c r="D367" t="n">
        <v>365</v>
      </c>
      <c r="E367" s="3" t="n">
        <v>45967</v>
      </c>
      <c r="F367" t="inlineStr">
        <is>
          <t>Iniciativa</t>
        </is>
      </c>
      <c r="G367" t="inlineStr">
        <is>
          <t>Dictamen con minuta de decreto por el cual se reforman la fracción v del artículo 30 y la fracción vii del apartado b del artículo 27 de la ley de seguridad privada del estado libre y soberano de</t>
        </is>
      </c>
      <c r="H367" t="n">
        <v>3</v>
      </c>
      <c r="I367" t="inlineStr">
        <is>
          <t>Seguridad Pública, Protección Civil y Narcotráfico</t>
        </is>
      </c>
      <c r="J367" t="n">
        <v>39</v>
      </c>
      <c r="K367" t="n">
        <v>0</v>
      </c>
      <c r="L367" t="n">
        <v>0</v>
      </c>
      <c r="M367" t="n">
        <v>2</v>
      </c>
      <c r="N367">
        <f>SUM(J367:M367)</f>
        <v/>
      </c>
      <c r="O367" s="4">
        <f>SUM(J367:L367)/SUM(J367:M367)</f>
        <v/>
      </c>
      <c r="P367" s="5">
        <f>MAX(J367:L367)/SUM(J367:L367)</f>
        <v/>
      </c>
    </row>
    <row r="368">
      <c r="A368" t="inlineStr">
        <is>
          <t>Segundo año</t>
        </is>
      </c>
      <c r="B368" t="inlineStr">
        <is>
          <t>Primer periodo</t>
        </is>
      </c>
      <c r="C368" t="n">
        <v>73</v>
      </c>
      <c r="D368" t="n">
        <v>366</v>
      </c>
      <c r="E368" s="3" t="n">
        <v>45967</v>
      </c>
      <c r="F368" t="inlineStr">
        <is>
          <t>Iniciativa</t>
        </is>
      </c>
      <c r="G368" t="inlineStr">
        <is>
          <t>Dictamen con minuta de decreto por el cual se autoriza al honorable ayuntamiento del municipio de zoquitlán, la enajenación bajo la figura de donación a título gratuito a favor del gobierno del estado de para la “construcción y funcionamiento de la sede en el municipio de zoquitlán, de la universidad de la salud del estado de , organismo público descentralizado del gobierno del estado de ”</t>
        </is>
      </c>
      <c r="H368" t="n">
        <v>7</v>
      </c>
      <c r="I368" t="inlineStr">
        <is>
          <t>Impuestos, Finanzas Públicas, Patrimonio estatal y municipal</t>
        </is>
      </c>
      <c r="J368" t="n">
        <v>39</v>
      </c>
      <c r="K368" t="n">
        <v>0</v>
      </c>
      <c r="L368" t="n">
        <v>0</v>
      </c>
      <c r="M368" t="n">
        <v>2</v>
      </c>
      <c r="N368">
        <f>SUM(J368:M368)</f>
        <v/>
      </c>
      <c r="O368" s="4">
        <f>SUM(J368:L368)/SUM(J368:M368)</f>
        <v/>
      </c>
      <c r="P368" s="5">
        <f>MAX(J368:L368)/SUM(J368:L368)</f>
        <v/>
      </c>
    </row>
    <row r="369">
      <c r="A369" t="inlineStr">
        <is>
          <t>Segundo año</t>
        </is>
      </c>
      <c r="B369" t="inlineStr">
        <is>
          <t>Primer periodo</t>
        </is>
      </c>
      <c r="C369" t="n">
        <v>74</v>
      </c>
      <c r="D369" t="n">
        <v>367</v>
      </c>
      <c r="E369" s="3" t="n">
        <v>45967</v>
      </c>
      <c r="F369" t="inlineStr">
        <is>
          <t>Iniciativa</t>
        </is>
      </c>
      <c r="G369" t="inlineStr">
        <is>
          <t>Dictamen con minuta de decreto por el cual se autoriza al honorable ayuntamiento del municipio de zautla, la donación a título gratuito de una superficie total de 6,685.10 metros cuadrados en dos polígonos, a favor del organismo público descentralizado de la administración pública federal no sectorizado denominado servicios de salud del “instituto mexicano del seguro social para el bienestar” (imss-bienestar), para el funcionamiento del establecimiento de salud denominado centro de salud san miguel tenextatiloyan; y a favor del gobierno del estado con destino a la secretaría de educación para el funcionamiento de la escuela seis de enero con clave de centro de trabajo 21dpr1011w</t>
        </is>
      </c>
      <c r="H369" t="n">
        <v>7</v>
      </c>
      <c r="I369" t="inlineStr">
        <is>
          <t>Impuestos, Finanzas Públicas, Patrimonio estatal y municipal</t>
        </is>
      </c>
      <c r="J369" t="n">
        <v>39</v>
      </c>
      <c r="K369" t="n">
        <v>0</v>
      </c>
      <c r="L369" t="n">
        <v>0</v>
      </c>
      <c r="M369" t="n">
        <v>2</v>
      </c>
      <c r="N369">
        <f>SUM(J369:M369)</f>
        <v/>
      </c>
      <c r="O369" s="4">
        <f>SUM(J369:L369)/SUM(J369:M369)</f>
        <v/>
      </c>
      <c r="P369" s="5">
        <f>MAX(J369:L369)/SUM(J369:L369)</f>
        <v/>
      </c>
    </row>
    <row r="370">
      <c r="A370" t="inlineStr">
        <is>
          <t>Segundo año</t>
        </is>
      </c>
      <c r="B370" t="inlineStr">
        <is>
          <t>Primer periodo</t>
        </is>
      </c>
      <c r="C370" t="n">
        <v>75</v>
      </c>
      <c r="D370" t="n">
        <v>368</v>
      </c>
      <c r="E370" s="3" t="n">
        <v>45967</v>
      </c>
      <c r="F370" t="inlineStr">
        <is>
          <t>Iniciativa</t>
        </is>
      </c>
      <c r="G370" t="inlineStr">
        <is>
          <t>Dictamen con minuta de decreto por el cual se autoriza al honorable ayuntamiento del municipio de acatzingo, a enajenar el bien inmueble de su propiedad descrito en el presente decreto, bajo la figura de donación a título gratuito a favor del gobierno federal, con destino a la secretaría de la defensa nacional para la construcción de compañías de la guardia nacional y a favor del gobierno del estado de con destino al poder judicial del estado de para la construcción de la casa de justicia en acatzingo</t>
        </is>
      </c>
      <c r="H370" t="n">
        <v>7</v>
      </c>
      <c r="I370" t="inlineStr">
        <is>
          <t>Impuestos, Finanzas Públicas, Patrimonio estatal y municipal</t>
        </is>
      </c>
      <c r="J370" t="n">
        <v>39</v>
      </c>
      <c r="K370" t="n">
        <v>0</v>
      </c>
      <c r="L370" t="n">
        <v>0</v>
      </c>
      <c r="M370" t="n">
        <v>2</v>
      </c>
      <c r="N370">
        <f>SUM(J370:M370)</f>
        <v/>
      </c>
      <c r="O370" s="4">
        <f>SUM(J370:L370)/SUM(J370:M370)</f>
        <v/>
      </c>
      <c r="P370" s="5">
        <f>MAX(J370:L370)/SUM(J370:L370)</f>
        <v/>
      </c>
    </row>
    <row r="371">
      <c r="A371" t="inlineStr">
        <is>
          <t>Segundo año</t>
        </is>
      </c>
      <c r="B371" t="inlineStr">
        <is>
          <t>Primer periodo</t>
        </is>
      </c>
      <c r="C371" t="n">
        <v>76</v>
      </c>
      <c r="D371" t="n">
        <v>369</v>
      </c>
      <c r="E371" s="3" t="n">
        <v>45974</v>
      </c>
      <c r="F371" t="inlineStr">
        <is>
          <t>Iniciativa</t>
        </is>
      </c>
      <c r="G371" t="inlineStr">
        <is>
          <t>Dictamen con minuta de decreto por el cual se reforman las fracciones VII y VIII del artículo 10, las fracciones III, VII, VIII, IX y X del artículo 34, la fracción VIII del artículo 38, fracciones II y IV del artículo 39, fracción VIII del artículo 42, el acápite y la fracción II del artículo 43 bis, los acápites de los artículos 43 quáter y 46, y la fracción II del artículo 57 octies, y se adiciona la fracción ix al artículo 10 de la ley para el acceso de las mujeres a una vida libre de violencia del estado</t>
        </is>
      </c>
      <c r="H371" t="n">
        <v>20</v>
      </c>
      <c r="I371" t="inlineStr">
        <is>
          <t>Justicia y Estado de Derecho en temas de Mujeres</t>
        </is>
      </c>
      <c r="J371" t="n">
        <v>39</v>
      </c>
      <c r="K371" t="n">
        <v>0</v>
      </c>
      <c r="L371" t="n">
        <v>0</v>
      </c>
      <c r="M371" t="n">
        <v>2</v>
      </c>
      <c r="N371">
        <f>SUM(J371:M371)</f>
        <v/>
      </c>
      <c r="O371" s="4">
        <f>SUM(J371:L371)/SUM(J371:M371)</f>
        <v/>
      </c>
      <c r="P371" s="5">
        <f>MAX(J371:L371)/SUM(J371:L371)</f>
        <v/>
      </c>
    </row>
    <row r="372">
      <c r="A372" t="inlineStr">
        <is>
          <t>Segundo año</t>
        </is>
      </c>
      <c r="B372" t="inlineStr">
        <is>
          <t>Primer periodo</t>
        </is>
      </c>
      <c r="C372" t="n">
        <v>77</v>
      </c>
      <c r="D372" t="n">
        <v>370</v>
      </c>
      <c r="E372" s="3" t="n">
        <v>45974</v>
      </c>
      <c r="F372" t="inlineStr">
        <is>
          <t>Punto de Acuerdo</t>
        </is>
      </c>
      <c r="G372" t="inlineStr">
        <is>
          <t>Acuerdo por el que se exhorta a la Secretaría de Seguridad Pública del estado y a la Secretaría de Seguridad Ciudadana del municipio de, para que de manera coordinada y en el ámbito de su competencia, implementen operativos permanentes de vigilancia en la zona de ciudad universitaria, con el fin de prevenir la comisión de delitos en contra de la comunidad estudiantil</t>
        </is>
      </c>
      <c r="H372" t="n">
        <v>3</v>
      </c>
      <c r="I372" t="inlineStr">
        <is>
          <t>Seguridad Pública, Protección Civil y Narcotráfico</t>
        </is>
      </c>
      <c r="J372" t="n">
        <v>39</v>
      </c>
      <c r="K372" t="n">
        <v>0</v>
      </c>
      <c r="L372" t="n">
        <v>0</v>
      </c>
      <c r="M372" t="n">
        <v>2</v>
      </c>
      <c r="N372">
        <f>SUM(J372:M372)</f>
        <v/>
      </c>
      <c r="O372" s="4">
        <f>SUM(J372:L372)/SUM(J372:M372)</f>
        <v/>
      </c>
      <c r="P372" s="5">
        <f>MAX(J372:L372)/SUM(J372:L372)</f>
        <v/>
      </c>
    </row>
    <row r="373">
      <c r="A373" t="inlineStr">
        <is>
          <t>Segundo año</t>
        </is>
      </c>
      <c r="B373" t="inlineStr">
        <is>
          <t>Primer periodo</t>
        </is>
      </c>
      <c r="C373" t="n">
        <v>78</v>
      </c>
      <c r="D373" t="n">
        <v>371</v>
      </c>
      <c r="E373" s="3" t="n">
        <v>45974</v>
      </c>
      <c r="F373" t="inlineStr">
        <is>
          <t>Punto de Acuerdo</t>
        </is>
      </c>
      <c r="G373" t="inlineStr">
        <is>
          <t>Acuerdo por el que se exhorta al Tribunal Superior de Justicia del estado, para que, en el ámbito de su competencia, promueva e implemente las acciones necesarias para garantizar la efectiva atención de los asuntos judiciales en los que estén involucradas personas adultas mayores</t>
        </is>
      </c>
      <c r="H373" t="n">
        <v>14</v>
      </c>
      <c r="I373" t="inlineStr">
        <is>
          <t>Justicia y Estado de Derecho</t>
        </is>
      </c>
      <c r="J373" t="n">
        <v>39</v>
      </c>
      <c r="K373" t="n">
        <v>0</v>
      </c>
      <c r="L373" t="n">
        <v>0</v>
      </c>
      <c r="M373" t="n">
        <v>2</v>
      </c>
      <c r="N373">
        <f>SUM(J373:M373)</f>
        <v/>
      </c>
      <c r="O373" s="4">
        <f>SUM(J373:L373)/SUM(J373:M373)</f>
        <v/>
      </c>
      <c r="P373" s="5">
        <f>MAX(J373:L373)/SUM(J373:L373)</f>
        <v/>
      </c>
    </row>
    <row r="374">
      <c r="A374" t="inlineStr">
        <is>
          <t>Segundo año</t>
        </is>
      </c>
      <c r="B374" t="inlineStr">
        <is>
          <t>Primer periodo</t>
        </is>
      </c>
      <c r="C374" t="n">
        <v>79</v>
      </c>
      <c r="D374" t="n">
        <v>372</v>
      </c>
      <c r="E374" s="3" t="n">
        <v>45974</v>
      </c>
      <c r="F374" t="inlineStr">
        <is>
          <t>Punto de Acuerdo</t>
        </is>
      </c>
      <c r="G374" t="inlineStr">
        <is>
          <t>Acuerdo por el que se exhorta a los ayuntamientos de Caltepec, Chignahuapan, Chila de la Sal, Hueytamalco, Izúcar de Matamoros, Nealtican, Quimixtlán, San Diego la Mesa Tochimiltzingo, San Gabriel Chilac, San Nicolás Buenos Aires, San Salvador Huixcolotla, Santiago Miahuatlán, Xicotepec, Zacatlán, Zacapoaxtla, Zapotitlán y Zaragoza, todos del estado, para que, en el ámbito de sus atribuciones y en términos de ley, realicen las propuestas de juez o jueza municipal ante el Consejo de la Judicatura del Tribunal Superior de Justicia del estado</t>
        </is>
      </c>
      <c r="H374" t="n">
        <v>18</v>
      </c>
      <c r="I374" t="inlineStr">
        <is>
          <t>Administración Pública</t>
        </is>
      </c>
      <c r="J374" t="n">
        <v>39</v>
      </c>
      <c r="K374" t="n">
        <v>0</v>
      </c>
      <c r="L374" t="n">
        <v>0</v>
      </c>
      <c r="M374" t="n">
        <v>2</v>
      </c>
      <c r="N374">
        <f>SUM(J374:M374)</f>
        <v/>
      </c>
      <c r="O374" s="4">
        <f>SUM(J374:L374)/SUM(J374:M374)</f>
        <v/>
      </c>
      <c r="P374" s="5">
        <f>MAX(J374:L374)/SUM(J374:L374)</f>
        <v/>
      </c>
    </row>
    <row r="375">
      <c r="A375" t="inlineStr">
        <is>
          <t>Segundo año</t>
        </is>
      </c>
      <c r="B375" t="inlineStr">
        <is>
          <t>Primer periodo</t>
        </is>
      </c>
      <c r="C375" t="n">
        <v>80</v>
      </c>
      <c r="D375" t="n">
        <v>373</v>
      </c>
      <c r="E375" s="3" t="n">
        <v>45974</v>
      </c>
      <c r="F375" t="inlineStr">
        <is>
          <t>Punto de Acuerdo</t>
        </is>
      </c>
      <c r="G375" t="inlineStr">
        <is>
          <t>Acuerdo por el que se exhorta a la Fiscalía General del estado para que, en atención a sus atribuciones y su suficiencia presupuestal, implemente las acciones necesarias para garantizar la recepción y atención adecuada de las denuncias, las veinticuatro horas del día y los trescientos sesenta y cinco días del año, en sus agencias del ministerio público y/o a través de unidades móviles</t>
        </is>
      </c>
      <c r="H375" t="n">
        <v>3</v>
      </c>
      <c r="I375" t="inlineStr">
        <is>
          <t>Seguridad Pública, Protección Civil y Narcotráfico</t>
        </is>
      </c>
      <c r="J375" t="n">
        <v>39</v>
      </c>
      <c r="K375" t="n">
        <v>0</v>
      </c>
      <c r="L375" t="n">
        <v>0</v>
      </c>
      <c r="M375" t="n">
        <v>2</v>
      </c>
      <c r="N375">
        <f>SUM(J375:M375)</f>
        <v/>
      </c>
      <c r="O375" s="4">
        <f>SUM(J375:L375)/SUM(J375:M375)</f>
        <v/>
      </c>
      <c r="P375" s="5">
        <f>MAX(J375:L375)/SUM(J375:L375)</f>
        <v/>
      </c>
    </row>
    <row r="376">
      <c r="A376" t="inlineStr">
        <is>
          <t>Segundo año</t>
        </is>
      </c>
      <c r="B376" t="inlineStr">
        <is>
          <t>Primer periodo</t>
        </is>
      </c>
      <c r="C376" t="n">
        <v>81</v>
      </c>
      <c r="D376" t="n">
        <v>374</v>
      </c>
      <c r="E376" s="3" t="n">
        <v>45974</v>
      </c>
      <c r="F376" t="inlineStr">
        <is>
          <t>Punto de Acuerdo</t>
        </is>
      </c>
      <c r="G376" t="inlineStr">
        <is>
          <t>Acuerdo por el cual se aprueba la licencia por más de treinta días, a partir del día quince de noviembre de dos mil veinticinco, al magistrado Fredy Erazo Juárez, al cargo de magistrado, adscrito a la primera sala en materia penal del honorable Tribunal Superior de Justicia del estado</t>
        </is>
      </c>
      <c r="H376" t="n">
        <v>19</v>
      </c>
      <c r="I376" t="inlineStr">
        <is>
          <t>Internos del Congreso</t>
        </is>
      </c>
      <c r="J376" t="n">
        <v>39</v>
      </c>
      <c r="K376" t="n">
        <v>0</v>
      </c>
      <c r="L376" t="n">
        <v>0</v>
      </c>
      <c r="M376" t="n">
        <v>2</v>
      </c>
      <c r="N376">
        <f>SUM(J376:M376)</f>
        <v/>
      </c>
      <c r="O376" s="4">
        <f>SUM(J376:L376)/SUM(J376:M376)</f>
        <v/>
      </c>
      <c r="P376" s="5">
        <f>MAX(J376:L376)/SUM(J376:L376)</f>
        <v/>
      </c>
    </row>
    <row r="377">
      <c r="A377" t="inlineStr">
        <is>
          <t>Segundo año</t>
        </is>
      </c>
      <c r="B377" t="inlineStr">
        <is>
          <t>Primer periodo</t>
        </is>
      </c>
      <c r="C377" t="n">
        <v>82</v>
      </c>
      <c r="D377" t="n">
        <v>375</v>
      </c>
      <c r="E377" s="3" t="n">
        <v>45981</v>
      </c>
      <c r="F377" t="inlineStr">
        <is>
          <t>Iniciativa</t>
        </is>
      </c>
      <c r="G377" t="inlineStr">
        <is>
          <t>Dictamen con minuta de decreto por el cual se expide la Ley de Presupuesto y Gasto Público Responsable del Estado</t>
        </is>
      </c>
      <c r="H377" t="n">
        <v>7</v>
      </c>
      <c r="I377" t="inlineStr">
        <is>
          <t>Impuestos, Finanzas Públicas, Patrimonio estatal y municipal</t>
        </is>
      </c>
      <c r="J377" t="n">
        <v>34</v>
      </c>
      <c r="K377" t="n">
        <v>0</v>
      </c>
      <c r="L377" t="n">
        <v>0</v>
      </c>
      <c r="M377" t="n">
        <v>7</v>
      </c>
      <c r="N377">
        <f>SUM(J377:M377)</f>
        <v/>
      </c>
      <c r="O377" s="4">
        <f>SUM(J377:L377)/SUM(J377:M377)</f>
        <v/>
      </c>
      <c r="P377" s="5">
        <f>MAX(J377:L377)/SUM(J377:L377)</f>
        <v/>
      </c>
    </row>
    <row r="378">
      <c r="A378" t="inlineStr">
        <is>
          <t>Segundo año</t>
        </is>
      </c>
      <c r="B378" t="inlineStr">
        <is>
          <t>Primer periodo</t>
        </is>
      </c>
      <c r="C378" t="n">
        <v>83</v>
      </c>
      <c r="D378" t="n">
        <v>376</v>
      </c>
      <c r="E378" s="3" t="n">
        <v>45981</v>
      </c>
      <c r="F378" t="inlineStr">
        <is>
          <t>Iniciativa</t>
        </is>
      </c>
      <c r="G378" t="inlineStr">
        <is>
          <t>Dictamen con minuta de decreto por el cual se reforma el cuarto párrafo del artículo segundo del similar por el que se autoriza a los doscientos diecisiete municipios del Estado</t>
        </is>
      </c>
      <c r="H378" t="n">
        <v>7</v>
      </c>
      <c r="I378" t="inlineStr">
        <is>
          <t>Impuestos, Finanzas Públicas, Patrimonio estatal y municipal</t>
        </is>
      </c>
      <c r="J378" t="n">
        <v>34</v>
      </c>
      <c r="K378" t="n">
        <v>0</v>
      </c>
      <c r="L378" t="n">
        <v>0</v>
      </c>
      <c r="M378" t="n">
        <v>7</v>
      </c>
      <c r="N378">
        <f>SUM(J378:M378)</f>
        <v/>
      </c>
      <c r="O378" s="4">
        <f>SUM(J378:L378)/SUM(J378:M378)</f>
        <v/>
      </c>
      <c r="P378" s="5">
        <f>MAX(J378:L378)/SUM(J378:L378)</f>
        <v/>
      </c>
    </row>
    <row r="379">
      <c r="A379" t="inlineStr">
        <is>
          <t>Segundo año</t>
        </is>
      </c>
      <c r="B379" t="inlineStr">
        <is>
          <t>Primer periodo</t>
        </is>
      </c>
      <c r="C379" t="n">
        <v>84</v>
      </c>
      <c r="D379" t="n">
        <v>377</v>
      </c>
      <c r="E379" s="3" t="n">
        <v>45981</v>
      </c>
      <c r="F379" t="inlineStr">
        <is>
          <t>Iniciativa</t>
        </is>
      </c>
      <c r="G379" t="inlineStr">
        <is>
          <t>Dictamen con minuta de decreto por el cual se reforma el artículo cuarto del similar por el que autoriza a los doscientos diecisiete municipios del Estado</t>
        </is>
      </c>
      <c r="H379" t="n">
        <v>7</v>
      </c>
      <c r="I379" t="inlineStr">
        <is>
          <t>Impuestos, Finanzas Públicas, Patrimonio estatal y municipal</t>
        </is>
      </c>
      <c r="J379" t="n">
        <v>35</v>
      </c>
      <c r="K379" t="n">
        <v>0</v>
      </c>
      <c r="L379" t="n">
        <v>0</v>
      </c>
      <c r="M379" t="n">
        <v>6</v>
      </c>
      <c r="N379">
        <f>SUM(J379:M379)</f>
        <v/>
      </c>
      <c r="O379" s="4">
        <f>SUM(J379:L379)/SUM(J379:M379)</f>
        <v/>
      </c>
      <c r="P379" s="5">
        <f>MAX(J379:L379)/SUM(J379:L379)</f>
        <v/>
      </c>
    </row>
    <row r="380">
      <c r="A380" t="inlineStr">
        <is>
          <t>Segundo año</t>
        </is>
      </c>
      <c r="B380" t="inlineStr">
        <is>
          <t>Primer periodo</t>
        </is>
      </c>
      <c r="C380" t="n">
        <v>85</v>
      </c>
      <c r="D380" t="n">
        <v>378</v>
      </c>
      <c r="E380" s="3" t="n">
        <v>45981</v>
      </c>
      <c r="F380" t="inlineStr">
        <is>
          <t>Punto de Acuerdo</t>
        </is>
      </c>
      <c r="G380" t="inlineStr">
        <is>
          <t>Acuerdo por el que se exhorta a la Agencia Nacional de Seguridad Industrial y de Protección al Medio Ambiente del Sector de Hidrocarburos</t>
        </is>
      </c>
      <c r="H380" t="n">
        <v>5</v>
      </c>
      <c r="I380" t="inlineStr">
        <is>
          <t>Medio Ambiente</t>
        </is>
      </c>
      <c r="J380" t="n">
        <v>35</v>
      </c>
      <c r="K380" t="n">
        <v>0</v>
      </c>
      <c r="L380" t="n">
        <v>0</v>
      </c>
      <c r="M380" t="n">
        <v>6</v>
      </c>
      <c r="N380">
        <f>SUM(J380:M380)</f>
        <v/>
      </c>
      <c r="O380" s="4">
        <f>SUM(J380:L380)/SUM(J380:M380)</f>
        <v/>
      </c>
      <c r="P380" s="5">
        <f>MAX(J380:L380)/SUM(J380:L380)</f>
        <v/>
      </c>
    </row>
    <row r="381">
      <c r="A381" t="inlineStr">
        <is>
          <t>Segundo año</t>
        </is>
      </c>
      <c r="B381" t="inlineStr">
        <is>
          <t>Primer periodo</t>
        </is>
      </c>
      <c r="C381" t="n">
        <v>86</v>
      </c>
      <c r="D381" t="n">
        <v>379</v>
      </c>
      <c r="E381" s="3" t="n">
        <v>45988</v>
      </c>
      <c r="F381" t="inlineStr">
        <is>
          <t>Iniciativa</t>
        </is>
      </c>
      <c r="G381" t="inlineStr">
        <is>
          <t>Dictamen con minuta de decreto por el cual se reforman las fracciones XI y XII, y se adiciona la fracción XIII, al artículo 191 de la Ley Orgánica Municipal</t>
        </is>
      </c>
      <c r="H381" t="n">
        <v>18</v>
      </c>
      <c r="I381" t="inlineStr">
        <is>
          <t>Administración Pública</t>
        </is>
      </c>
      <c r="J381" t="n">
        <v>39</v>
      </c>
      <c r="K381" t="n">
        <v>0</v>
      </c>
      <c r="L381" t="n">
        <v>0</v>
      </c>
      <c r="M381" t="n">
        <v>2</v>
      </c>
      <c r="N381">
        <f>SUM(J381:M381)</f>
        <v/>
      </c>
      <c r="O381" s="4">
        <f>SUM(J381:L381)/SUM(J381:M381)</f>
        <v/>
      </c>
      <c r="P381" s="5">
        <f>MAX(J381:L381)/SUM(J381:L381)</f>
        <v/>
      </c>
    </row>
    <row r="382">
      <c r="A382" t="inlineStr">
        <is>
          <t>Segundo año</t>
        </is>
      </c>
      <c r="B382" t="inlineStr">
        <is>
          <t>Primer periodo</t>
        </is>
      </c>
      <c r="C382" t="n">
        <v>87</v>
      </c>
      <c r="D382" t="n">
        <v>380</v>
      </c>
      <c r="E382" s="3" t="n">
        <v>45988</v>
      </c>
      <c r="F382" t="inlineStr">
        <is>
          <t>Iniciativa</t>
        </is>
      </c>
      <c r="G382" t="inlineStr">
        <is>
          <t>Dictamen con minuta de decreto por el cual se aprueba en lo general el dictamen con minuta de ley de ingresos del estado de para el ejercicio fiscal 2026</t>
        </is>
      </c>
      <c r="H382" t="n">
        <v>7</v>
      </c>
      <c r="I382" t="inlineStr">
        <is>
          <t>Impuestos, Finanzas Públicas, Patrimonio estatal y municipal</t>
        </is>
      </c>
      <c r="J382" t="n">
        <v>39</v>
      </c>
      <c r="K382" t="n">
        <v>1</v>
      </c>
      <c r="L382" t="n">
        <v>0</v>
      </c>
      <c r="M382" t="n">
        <v>1</v>
      </c>
      <c r="N382">
        <f>SUM(J382:M382)</f>
        <v/>
      </c>
      <c r="O382" s="4">
        <f>SUM(J382:L382)/SUM(J382:M382)</f>
        <v/>
      </c>
      <c r="P382" s="5">
        <f>MAX(J382:L382)/SUM(J382:L382)</f>
        <v/>
      </c>
    </row>
    <row r="383">
      <c r="A383" t="inlineStr">
        <is>
          <t>Segundo año</t>
        </is>
      </c>
      <c r="B383" t="inlineStr">
        <is>
          <t>Primer periodo</t>
        </is>
      </c>
      <c r="C383" t="n">
        <v>88</v>
      </c>
      <c r="D383" t="n">
        <v>381</v>
      </c>
      <c r="E383" s="3" t="n">
        <v>45988</v>
      </c>
      <c r="F383" t="inlineStr">
        <is>
          <t>Iniciativa</t>
        </is>
      </c>
      <c r="G383" t="inlineStr">
        <is>
          <t>Dictamen con minuta de decreto por el cual se aprueba en lo particular el artículo 59 del dictamen con minuta de ley de ingresos del estado de para el ejercicio fiscal 2026</t>
        </is>
      </c>
      <c r="H383" t="n">
        <v>7</v>
      </c>
      <c r="I383" t="inlineStr">
        <is>
          <t>Impuestos, Finanzas Públicas, Patrimonio estatal y municipal</t>
        </is>
      </c>
      <c r="J383" t="n">
        <v>34</v>
      </c>
      <c r="K383" t="n">
        <v>6</v>
      </c>
      <c r="L383" t="n">
        <v>0</v>
      </c>
      <c r="M383" t="n">
        <v>1</v>
      </c>
      <c r="N383">
        <f>SUM(J383:M383)</f>
        <v/>
      </c>
      <c r="O383" s="4">
        <f>SUM(J383:L383)/SUM(J383:M383)</f>
        <v/>
      </c>
      <c r="P383" s="5">
        <f>MAX(J383:L383)/SUM(J383:L383)</f>
        <v/>
      </c>
    </row>
    <row r="384">
      <c r="A384" t="inlineStr">
        <is>
          <t>Segundo año</t>
        </is>
      </c>
      <c r="B384" t="inlineStr">
        <is>
          <t>Primer periodo</t>
        </is>
      </c>
      <c r="C384" t="n">
        <v>89</v>
      </c>
      <c r="D384" t="n">
        <v>382</v>
      </c>
      <c r="E384" s="3" t="n">
        <v>45988</v>
      </c>
      <c r="F384" t="inlineStr">
        <is>
          <t>Iniciativa</t>
        </is>
      </c>
      <c r="G384" t="inlineStr">
        <is>
          <t>Dictamen con minuta de decreto por el cual se aprueban las leyes de ingresos municipales para el ejercicio fiscal 2026 y la zonificación catastral</t>
        </is>
      </c>
      <c r="H384" t="n">
        <v>7</v>
      </c>
      <c r="I384" t="inlineStr">
        <is>
          <t>Impuestos, Finanzas Públicas, Patrimonio estatal y municipal</t>
        </is>
      </c>
      <c r="J384" t="n">
        <v>40</v>
      </c>
      <c r="K384" t="n">
        <v>0</v>
      </c>
      <c r="L384" t="n">
        <v>0</v>
      </c>
      <c r="M384" t="n">
        <v>1</v>
      </c>
      <c r="N384">
        <f>SUM(J384:M384)</f>
        <v/>
      </c>
      <c r="O384" s="4">
        <f>SUM(J384:L384)/SUM(J384:M384)</f>
        <v/>
      </c>
      <c r="P384" s="5">
        <f>MAX(J384:L384)/SUM(J384:L384)</f>
        <v/>
      </c>
    </row>
    <row r="385">
      <c r="A385" t="inlineStr">
        <is>
          <t>Segundo año</t>
        </is>
      </c>
      <c r="B385" t="inlineStr">
        <is>
          <t>Primer periodo</t>
        </is>
      </c>
      <c r="C385" t="n">
        <v>90</v>
      </c>
      <c r="D385" t="n">
        <v>383</v>
      </c>
      <c r="E385" s="3" t="n">
        <v>45988</v>
      </c>
      <c r="F385" t="inlineStr">
        <is>
          <t>Punto de Acuerdo</t>
        </is>
      </c>
      <c r="G385" t="inlineStr">
        <is>
          <t>Acuerdo por el cual se aprueba la prórroga de la sesión hasta concluir todos los puntos del orden del día</t>
        </is>
      </c>
      <c r="H385" t="n">
        <v>19</v>
      </c>
      <c r="I385" t="inlineStr">
        <is>
          <t>Internos del Congreso</t>
        </is>
      </c>
      <c r="J385" t="n">
        <v>41</v>
      </c>
      <c r="K385" t="n">
        <v>0</v>
      </c>
      <c r="L385" t="n">
        <v>0</v>
      </c>
      <c r="M385" t="n">
        <v>0</v>
      </c>
      <c r="N385">
        <f>SUM(J385:M385)</f>
        <v/>
      </c>
      <c r="O385" s="4">
        <f>SUM(J385:L385)/SUM(J385:M385)</f>
        <v/>
      </c>
      <c r="P385" s="5">
        <f>MAX(J385:L385)/SUM(J385:L385)</f>
        <v/>
      </c>
    </row>
    <row r="386">
      <c r="A386" t="inlineStr">
        <is>
          <t>Segundo año</t>
        </is>
      </c>
      <c r="B386" t="inlineStr">
        <is>
          <t>Primer periodo</t>
        </is>
      </c>
      <c r="C386" t="n">
        <v>91</v>
      </c>
      <c r="D386" t="n">
        <v>384</v>
      </c>
      <c r="E386" s="3" t="n">
        <v>45995</v>
      </c>
      <c r="F386" t="inlineStr">
        <is>
          <t>Iniciativa</t>
        </is>
      </c>
      <c r="G386" t="inlineStr">
        <is>
          <t>Dictamen con minuta de decreto por el cual la ley de egresos del estado de para el ejercicio fiscal 2026</t>
        </is>
      </c>
      <c r="H386" t="n">
        <v>7</v>
      </c>
      <c r="I386" t="inlineStr">
        <is>
          <t>Impuestos, Finanzas Públicas, Patrimonio estatal y municipal</t>
        </is>
      </c>
      <c r="J386" t="n">
        <v>36</v>
      </c>
      <c r="K386" t="n">
        <v>1</v>
      </c>
      <c r="L386" t="n">
        <v>2</v>
      </c>
      <c r="M386" t="n">
        <v>2</v>
      </c>
      <c r="N386">
        <f>SUM(J386:M386)</f>
        <v/>
      </c>
      <c r="O386" s="4">
        <f>SUM(J386:L386)/SUM(J386:M386)</f>
        <v/>
      </c>
      <c r="P386" s="5">
        <f>MAX(J386:L386)/SUM(J386:L386)</f>
        <v/>
      </c>
    </row>
    <row r="387">
      <c r="A387" t="inlineStr">
        <is>
          <t>Segundo año</t>
        </is>
      </c>
      <c r="B387" t="inlineStr">
        <is>
          <t>Primer periodo</t>
        </is>
      </c>
      <c r="C387" t="n">
        <v>92</v>
      </c>
      <c r="D387" t="n">
        <v>385</v>
      </c>
      <c r="E387" s="3" t="n">
        <v>45995</v>
      </c>
      <c r="F387" t="inlineStr">
        <is>
          <t>Iniciativa</t>
        </is>
      </c>
      <c r="G387" t="inlineStr">
        <is>
          <t>Dictamen con minuta de decreto por el cual la ley de transporte del estado</t>
        </is>
      </c>
      <c r="H387" t="n">
        <v>11</v>
      </c>
      <c r="I387" t="inlineStr">
        <is>
          <t>Infraestructura, Movilidad y Transporte</t>
        </is>
      </c>
      <c r="J387" t="n">
        <v>33</v>
      </c>
      <c r="K387" t="n">
        <v>1</v>
      </c>
      <c r="L387" t="n">
        <v>5</v>
      </c>
      <c r="M387" t="n">
        <v>2</v>
      </c>
      <c r="N387">
        <f>SUM(J387:M387)</f>
        <v/>
      </c>
      <c r="O387" s="4">
        <f>SUM(J387:L387)/SUM(J387:M387)</f>
        <v/>
      </c>
      <c r="P387" s="5">
        <f>MAX(J387:L387)/SUM(J387:L387)</f>
        <v/>
      </c>
    </row>
    <row r="388">
      <c r="A388" t="inlineStr">
        <is>
          <t>Segundo año</t>
        </is>
      </c>
      <c r="B388" t="inlineStr">
        <is>
          <t>Primer periodo</t>
        </is>
      </c>
      <c r="C388" t="n">
        <v>93</v>
      </c>
      <c r="D388" t="n">
        <v>386</v>
      </c>
      <c r="E388" s="3" t="n">
        <v>45995</v>
      </c>
      <c r="F388" t="inlineStr">
        <is>
          <t>Iniciativa</t>
        </is>
      </c>
      <c r="G388" t="inlineStr">
        <is>
          <t>Dictamen con minuta de decreto por el cual las leyes de ingresos municipales para el ejercicio fiscal 2026</t>
        </is>
      </c>
      <c r="H388" t="n">
        <v>7</v>
      </c>
      <c r="I388" t="inlineStr">
        <is>
          <t>Impuestos, Finanzas Públicas, Patrimonio estatal y municipal</t>
        </is>
      </c>
      <c r="J388" t="n">
        <v>38</v>
      </c>
      <c r="K388" t="n">
        <v>0</v>
      </c>
      <c r="L388" t="n">
        <v>1</v>
      </c>
      <c r="M388" t="n">
        <v>2</v>
      </c>
      <c r="N388">
        <f>SUM(J388:M388)</f>
        <v/>
      </c>
      <c r="O388" s="4">
        <f>SUM(J388:L388)/SUM(J388:M388)</f>
        <v/>
      </c>
      <c r="P388" s="5">
        <f>MAX(J388:L388)/SUM(J388:L388)</f>
        <v/>
      </c>
    </row>
    <row r="389">
      <c r="A389" t="inlineStr">
        <is>
          <t>Segundo año</t>
        </is>
      </c>
      <c r="B389" t="inlineStr">
        <is>
          <t>Primer periodo</t>
        </is>
      </c>
      <c r="C389" t="n">
        <v>94</v>
      </c>
      <c r="D389" t="n">
        <v>387</v>
      </c>
      <c r="E389" s="3" t="n">
        <v>45995</v>
      </c>
      <c r="F389" t="inlineStr">
        <is>
          <t>Iniciativa</t>
        </is>
      </c>
      <c r="G389" t="inlineStr">
        <is>
          <t>Dictamen con minuta de decreto por el cual el día 3 de abril de cada año como “día del natalicio del cadete Vicente Suárez, héroe de Chapultepec y símbolo de valor en la defensa de la patria”</t>
        </is>
      </c>
      <c r="H389" t="n">
        <v>8</v>
      </c>
      <c r="I389" t="inlineStr">
        <is>
          <t>Educación y Cultura</t>
        </is>
      </c>
      <c r="J389" t="n">
        <v>39</v>
      </c>
      <c r="K389" t="n">
        <v>0</v>
      </c>
      <c r="L389" t="n">
        <v>0</v>
      </c>
      <c r="M389" t="n">
        <v>2</v>
      </c>
      <c r="N389">
        <f>SUM(J389:M389)</f>
        <v/>
      </c>
      <c r="O389" s="4">
        <f>SUM(J389:L389)/SUM(J389:M389)</f>
        <v/>
      </c>
      <c r="P389" s="5">
        <f>MAX(J389:L389)/SUM(J389:L389)</f>
        <v/>
      </c>
    </row>
    <row r="390">
      <c r="A390" t="inlineStr">
        <is>
          <t>Segundo año</t>
        </is>
      </c>
      <c r="B390" t="inlineStr">
        <is>
          <t>Primer periodo</t>
        </is>
      </c>
      <c r="C390" t="n">
        <v>95</v>
      </c>
      <c r="D390" t="n">
        <v>388</v>
      </c>
      <c r="E390" s="3" t="n">
        <v>45995</v>
      </c>
      <c r="F390" t="inlineStr">
        <is>
          <t>Iniciativa</t>
        </is>
      </c>
      <c r="G390" t="inlineStr">
        <is>
          <t>Dictamen con minuta de decreto por el cual se expide la ley de economía circular del estado</t>
        </is>
      </c>
      <c r="H390" t="n">
        <v>5</v>
      </c>
      <c r="I390" t="inlineStr">
        <is>
          <t>Medio Ambiente</t>
        </is>
      </c>
      <c r="J390" t="n">
        <v>40</v>
      </c>
      <c r="K390" t="n">
        <v>0</v>
      </c>
      <c r="L390" t="n">
        <v>0</v>
      </c>
      <c r="M390" t="n">
        <v>1</v>
      </c>
      <c r="N390">
        <f>SUM(J390:M390)</f>
        <v/>
      </c>
      <c r="O390" s="4">
        <f>SUM(J390:L390)/SUM(J390:M390)</f>
        <v/>
      </c>
      <c r="P390" s="5">
        <f>MAX(J390:L390)/SUM(J390:L390)</f>
        <v/>
      </c>
    </row>
    <row r="391">
      <c r="A391" t="inlineStr">
        <is>
          <t>Segundo año</t>
        </is>
      </c>
      <c r="B391" t="inlineStr">
        <is>
          <t>Primer periodo</t>
        </is>
      </c>
      <c r="C391" t="n">
        <v>96</v>
      </c>
      <c r="D391" t="n">
        <v>389</v>
      </c>
      <c r="E391" s="3" t="n">
        <v>45995</v>
      </c>
      <c r="F391" t="inlineStr">
        <is>
          <t>Iniciativa</t>
        </is>
      </c>
      <c r="G391" t="inlineStr">
        <is>
          <t>Dictamen con minuta de decreto por el cual el análisis de 325 informes individuales de las entidades fiscalizadas del ejercicio 2023</t>
        </is>
      </c>
      <c r="H391" t="n">
        <v>10</v>
      </c>
      <c r="I391" t="inlineStr">
        <is>
          <t>Transparencia y Rendición de Cuentas</t>
        </is>
      </c>
      <c r="J391" t="n">
        <v>39</v>
      </c>
      <c r="K391" t="n">
        <v>0</v>
      </c>
      <c r="L391" t="n">
        <v>1</v>
      </c>
      <c r="M391" t="n">
        <v>1</v>
      </c>
      <c r="N391">
        <f>SUM(J391:M391)</f>
        <v/>
      </c>
      <c r="O391" s="4">
        <f>SUM(J391:L391)/SUM(J391:M391)</f>
        <v/>
      </c>
      <c r="P391" s="5">
        <f>MAX(J391:L391)/SUM(J391:L391)</f>
        <v/>
      </c>
    </row>
    <row r="392">
      <c r="A392" t="inlineStr">
        <is>
          <t>Segundo año</t>
        </is>
      </c>
      <c r="B392" t="inlineStr">
        <is>
          <t>Primer periodo</t>
        </is>
      </c>
      <c r="C392" t="n">
        <v>97</v>
      </c>
      <c r="D392" t="n">
        <v>390</v>
      </c>
      <c r="E392" s="3" t="n">
        <v>45995</v>
      </c>
      <c r="F392" t="inlineStr">
        <is>
          <t>Iniciativa</t>
        </is>
      </c>
      <c r="G392" t="inlineStr">
        <is>
          <t>Dictamen con minuta de decreto por el cual la reforma al artículo 12 de la constitución política del estado</t>
        </is>
      </c>
      <c r="H392" t="n">
        <v>18</v>
      </c>
      <c r="I392" t="inlineStr">
        <is>
          <t>Administración Pública</t>
        </is>
      </c>
      <c r="J392" t="n">
        <v>40</v>
      </c>
      <c r="K392" t="n">
        <v>0</v>
      </c>
      <c r="L392" t="n">
        <v>0</v>
      </c>
      <c r="M392" t="n">
        <v>1</v>
      </c>
      <c r="N392">
        <f>SUM(J392:M392)</f>
        <v/>
      </c>
      <c r="O392" s="4">
        <f>SUM(J392:L392)/SUM(J392:M392)</f>
        <v/>
      </c>
      <c r="P392" s="5">
        <f>MAX(J392:L392)/SUM(J392:L392)</f>
        <v/>
      </c>
    </row>
    <row r="393">
      <c r="A393" t="inlineStr">
        <is>
          <t>Segundo año</t>
        </is>
      </c>
      <c r="B393" t="inlineStr">
        <is>
          <t>Primer periodo</t>
        </is>
      </c>
      <c r="C393" t="n">
        <v>98</v>
      </c>
      <c r="D393" t="n">
        <v>391</v>
      </c>
      <c r="E393" s="3" t="n">
        <v>45995</v>
      </c>
      <c r="F393" t="inlineStr">
        <is>
          <t>Punto de Acuerdo</t>
        </is>
      </c>
      <c r="G393" t="inlineStr">
        <is>
          <t>Acuerdo por el que se exhorta al comité administrador poblano para la construcción de espacios educativos</t>
        </is>
      </c>
      <c r="H393" t="n">
        <v>8</v>
      </c>
      <c r="I393" t="inlineStr">
        <is>
          <t>Educación y Cultura</t>
        </is>
      </c>
      <c r="J393" t="n">
        <v>40</v>
      </c>
      <c r="K393" t="n">
        <v>0</v>
      </c>
      <c r="L393" t="n">
        <v>0</v>
      </c>
      <c r="M393" t="n">
        <v>1</v>
      </c>
      <c r="N393">
        <f>SUM(J393:M393)</f>
        <v/>
      </c>
      <c r="O393" s="4">
        <f>SUM(J393:L393)/SUM(J393:M393)</f>
        <v/>
      </c>
      <c r="P393" s="5">
        <f>MAX(J393:L393)/SUM(J393:L393)</f>
        <v/>
      </c>
    </row>
    <row r="394">
      <c r="A394" t="inlineStr">
        <is>
          <t>Segundo año</t>
        </is>
      </c>
      <c r="B394" t="inlineStr">
        <is>
          <t>Primer periodo</t>
        </is>
      </c>
      <c r="C394" t="n">
        <v>99</v>
      </c>
      <c r="D394" t="n">
        <v>392</v>
      </c>
      <c r="E394" s="3" t="n">
        <v>45995</v>
      </c>
      <c r="F394" t="inlineStr">
        <is>
          <t>Punto de Acuerdo</t>
        </is>
      </c>
      <c r="G394" t="inlineStr">
        <is>
          <t>Acuerdo por el que se exhorta a la persona titular del poder judicial, al poder ejecutivo, a través de la secretaría de salud</t>
        </is>
      </c>
      <c r="H394" t="n">
        <v>6</v>
      </c>
      <c r="I394" t="inlineStr">
        <is>
          <t>Salud</t>
        </is>
      </c>
      <c r="J394" t="n">
        <v>40</v>
      </c>
      <c r="K394" t="n">
        <v>0</v>
      </c>
      <c r="L394" t="n">
        <v>0</v>
      </c>
      <c r="M394" t="n">
        <v>1</v>
      </c>
      <c r="N394">
        <f>SUM(J394:M394)</f>
        <v/>
      </c>
      <c r="O394" s="4">
        <f>SUM(J394:L394)/SUM(J394:M394)</f>
        <v/>
      </c>
      <c r="P394" s="5">
        <f>MAX(J394:L394)/SUM(J394:L394)</f>
        <v/>
      </c>
    </row>
    <row r="395">
      <c r="A395" t="inlineStr">
        <is>
          <t>Segundo año</t>
        </is>
      </c>
      <c r="B395" t="inlineStr">
        <is>
          <t>Primer periodo</t>
        </is>
      </c>
      <c r="C395" t="n">
        <v>100</v>
      </c>
      <c r="D395" t="n">
        <v>393</v>
      </c>
      <c r="E395" s="3" t="n">
        <v>45995</v>
      </c>
      <c r="F395" t="inlineStr">
        <is>
          <t>Punto de Acuerdo</t>
        </is>
      </c>
      <c r="G395" t="inlineStr">
        <is>
          <t>Acuerdo por el que se exhorta a la procuraduría federal del consumidor delegación</t>
        </is>
      </c>
      <c r="H395" t="n">
        <v>1</v>
      </c>
      <c r="I395" t="inlineStr">
        <is>
          <t>Economía, Comercio y Competitividad</t>
        </is>
      </c>
      <c r="J395" t="n">
        <v>40</v>
      </c>
      <c r="K395" t="n">
        <v>0</v>
      </c>
      <c r="L395" t="n">
        <v>0</v>
      </c>
      <c r="M395" t="n">
        <v>1</v>
      </c>
      <c r="N395">
        <f>SUM(J395:M395)</f>
        <v/>
      </c>
      <c r="O395" s="4">
        <f>SUM(J395:L395)/SUM(J395:M395)</f>
        <v/>
      </c>
      <c r="P395" s="5">
        <f>MAX(J395:L395)/SUM(J395:L395)</f>
        <v/>
      </c>
    </row>
    <row r="396">
      <c r="A396" t="inlineStr">
        <is>
          <t>Segundo año</t>
        </is>
      </c>
      <c r="B396" t="inlineStr">
        <is>
          <t>Primer periodo</t>
        </is>
      </c>
      <c r="C396" t="n">
        <v>101</v>
      </c>
      <c r="D396" t="n">
        <v>394</v>
      </c>
      <c r="E396" s="3" t="n">
        <v>45995</v>
      </c>
      <c r="F396" t="inlineStr">
        <is>
          <t>Punto de Acuerdo</t>
        </is>
      </c>
      <c r="G396" t="inlineStr">
        <is>
          <t>Acuerdo por el que se exhorta a la secretaría de desarrollo económico y trabajo del estado</t>
        </is>
      </c>
      <c r="H396" t="n">
        <v>16</v>
      </c>
      <c r="I396" t="inlineStr">
        <is>
          <t>Trabajo y Previsión Social</t>
        </is>
      </c>
      <c r="J396" t="n">
        <v>40</v>
      </c>
      <c r="K396" t="n">
        <v>0</v>
      </c>
      <c r="L396" t="n">
        <v>0</v>
      </c>
      <c r="M396" t="n">
        <v>1</v>
      </c>
      <c r="N396">
        <f>SUM(J396:M396)</f>
        <v/>
      </c>
      <c r="O396" s="4">
        <f>SUM(J396:L396)/SUM(J396:M396)</f>
        <v/>
      </c>
      <c r="P396" s="5">
        <f>MAX(J396:L396)/SUM(J396:L396)</f>
        <v/>
      </c>
    </row>
    <row r="397">
      <c r="A397" t="inlineStr">
        <is>
          <t>Segundo año</t>
        </is>
      </c>
      <c r="B397" t="inlineStr">
        <is>
          <t>Primer periodo</t>
        </is>
      </c>
      <c r="C397" t="n">
        <v>102</v>
      </c>
      <c r="D397" t="n">
        <v>395</v>
      </c>
      <c r="E397" s="3" t="n">
        <v>46002</v>
      </c>
      <c r="F397" t="inlineStr">
        <is>
          <t>Iniciativa</t>
        </is>
      </c>
      <c r="G397" t="inlineStr">
        <is>
          <t>Dictamen con minuta Proyecto de decreto por el cual se eleva a la comunidad de Zacatlamanic, municipio de Ajalpan, a la categoría de pueblo, para denominarse: "pueblo de Zacatlamanic", municipio de Ajalpan</t>
        </is>
      </c>
      <c r="H397" t="n">
        <v>18</v>
      </c>
      <c r="I397" t="inlineStr">
        <is>
          <t>Administración Pública</t>
        </is>
      </c>
      <c r="J397" t="n">
        <v>39</v>
      </c>
      <c r="K397" t="n">
        <v>0</v>
      </c>
      <c r="L397" t="n">
        <v>0</v>
      </c>
      <c r="M397" t="n">
        <v>2</v>
      </c>
      <c r="N397">
        <f>SUM(J397:M397)</f>
        <v/>
      </c>
      <c r="O397" s="4">
        <f>SUM(J397:L397)/SUM(J397:M397)</f>
        <v/>
      </c>
      <c r="P397" s="5">
        <f>MAX(J397:L397)/SUM(J397:L397)</f>
        <v/>
      </c>
    </row>
    <row r="398">
      <c r="A398" t="inlineStr">
        <is>
          <t>Segundo año</t>
        </is>
      </c>
      <c r="B398" t="inlineStr">
        <is>
          <t>Primer periodo</t>
        </is>
      </c>
      <c r="C398" t="n">
        <v>103</v>
      </c>
      <c r="D398" t="n">
        <v>396</v>
      </c>
      <c r="E398" s="3" t="n">
        <v>46002</v>
      </c>
      <c r="F398" t="inlineStr">
        <is>
          <t>Iniciativa</t>
        </is>
      </c>
      <c r="G398" t="inlineStr">
        <is>
          <t>Dictamen con minuta Proyecto de decreto por el cual se expiden las leyes de ingresos municipales para el ejercicio fiscal 2026 y la zonificación catastral y tablas de valores unitarios de suelos urbanos y rústicos de setenta y tres municipios</t>
        </is>
      </c>
      <c r="H398" t="n">
        <v>7</v>
      </c>
      <c r="I398" t="inlineStr">
        <is>
          <t>Impuestos, Finanzas Públicas, Patrimonio estatal y municipal</t>
        </is>
      </c>
      <c r="J398" t="n">
        <v>38</v>
      </c>
      <c r="K398" t="n">
        <v>0</v>
      </c>
      <c r="L398" t="n">
        <v>1</v>
      </c>
      <c r="M398" t="n">
        <v>2</v>
      </c>
      <c r="N398">
        <f>SUM(J398:M398)</f>
        <v/>
      </c>
      <c r="O398" s="4">
        <f>SUM(J398:L398)/SUM(J398:M398)</f>
        <v/>
      </c>
      <c r="P398" s="5">
        <f>MAX(J398:L398)/SUM(J398:L398)</f>
        <v/>
      </c>
    </row>
    <row r="399">
      <c r="A399" t="inlineStr">
        <is>
          <t>Segundo año</t>
        </is>
      </c>
      <c r="B399" t="inlineStr">
        <is>
          <t>Primer periodo</t>
        </is>
      </c>
      <c r="C399" t="n">
        <v>104</v>
      </c>
      <c r="D399" t="n">
        <v>397</v>
      </c>
      <c r="E399" s="3" t="n">
        <v>46002</v>
      </c>
      <c r="F399" t="inlineStr">
        <is>
          <t>Iniciativa</t>
        </is>
      </c>
      <c r="G399" t="inlineStr">
        <is>
          <t>Dictamen con minuta Proyecto de decreto por el cual se reforman las fracciones VI, VII y se adiciona la fracción VIII al artículo 66 de la ley del sistema estatal de protección civil</t>
        </is>
      </c>
      <c r="H399" t="n">
        <v>3</v>
      </c>
      <c r="I399" t="inlineStr">
        <is>
          <t>Seguridad Pública, Protección Civil y Narcotráfico</t>
        </is>
      </c>
      <c r="J399" t="n">
        <v>40</v>
      </c>
      <c r="K399" t="n">
        <v>0</v>
      </c>
      <c r="L399" t="n">
        <v>0</v>
      </c>
      <c r="M399" t="n">
        <v>1</v>
      </c>
      <c r="N399">
        <f>SUM(J399:M399)</f>
        <v/>
      </c>
      <c r="O399" s="4">
        <f>SUM(J399:L399)/SUM(J399:M399)</f>
        <v/>
      </c>
      <c r="P399" s="5">
        <f>MAX(J399:L399)/SUM(J399:L399)</f>
        <v/>
      </c>
    </row>
    <row r="400">
      <c r="A400" t="inlineStr">
        <is>
          <t>Segundo año</t>
        </is>
      </c>
      <c r="B400" t="inlineStr">
        <is>
          <t>Primer periodo</t>
        </is>
      </c>
      <c r="C400" t="n">
        <v>105</v>
      </c>
      <c r="D400" t="n">
        <v>398</v>
      </c>
      <c r="E400" s="3" t="n">
        <v>46002</v>
      </c>
      <c r="F400" t="inlineStr">
        <is>
          <t>Iniciativa</t>
        </is>
      </c>
      <c r="G400" t="inlineStr">
        <is>
          <t>Dictamen con minuta Proyecto de decreto por el cual se autoriza la inscripción en el muro de honor del salón de pleno del honorable congreso del estado libre y soberano de, de la leyenda: “a las mujeres indígenas y afromexicanas del estado de”</t>
        </is>
      </c>
      <c r="H400" t="n">
        <v>8</v>
      </c>
      <c r="I400" t="inlineStr">
        <is>
          <t>Educación y Cultura</t>
        </is>
      </c>
      <c r="J400" t="n">
        <v>40</v>
      </c>
      <c r="K400" t="n">
        <v>0</v>
      </c>
      <c r="L400" t="n">
        <v>0</v>
      </c>
      <c r="M400" t="n">
        <v>1</v>
      </c>
      <c r="N400">
        <f>SUM(J400:M400)</f>
        <v/>
      </c>
      <c r="O400" s="4">
        <f>SUM(J400:L400)/SUM(J400:M400)</f>
        <v/>
      </c>
      <c r="P400" s="5">
        <f>MAX(J400:L400)/SUM(J400:L400)</f>
        <v/>
      </c>
    </row>
    <row r="401">
      <c r="A401" t="inlineStr">
        <is>
          <t>Segundo año</t>
        </is>
      </c>
      <c r="B401" t="inlineStr">
        <is>
          <t>Primer periodo</t>
        </is>
      </c>
      <c r="C401" t="n">
        <v>106</v>
      </c>
      <c r="D401" t="n">
        <v>399</v>
      </c>
      <c r="E401" s="3" t="n">
        <v>46002</v>
      </c>
      <c r="F401" t="inlineStr">
        <is>
          <t>Punto de Acuerdo</t>
        </is>
      </c>
      <c r="G401" t="inlineStr">
        <is>
          <t>Acuerdo por el que se exhorta a la comisión nacional del agua, para que, en el ámbito de su competencia, revise la situación de los mantos acuíferos de los municipios de Ajalpan, Altepexi, Coxcatlán, San Gabriel Chilac, San José Miahuatlán y Zinacatepec</t>
        </is>
      </c>
      <c r="H401" t="n">
        <v>5</v>
      </c>
      <c r="I401" t="inlineStr">
        <is>
          <t>Medio Ambiente</t>
        </is>
      </c>
      <c r="J401" t="n">
        <v>40</v>
      </c>
      <c r="K401" t="n">
        <v>0</v>
      </c>
      <c r="L401" t="n">
        <v>0</v>
      </c>
      <c r="M401" t="n">
        <v>1</v>
      </c>
      <c r="N401">
        <f>SUM(J401:M401)</f>
        <v/>
      </c>
      <c r="O401" s="4">
        <f>SUM(J401:L401)/SUM(J401:M401)</f>
        <v/>
      </c>
      <c r="P401" s="5">
        <f>MAX(J401:L401)/SUM(J401:L401)</f>
        <v/>
      </c>
    </row>
    <row r="402">
      <c r="A402" t="inlineStr">
        <is>
          <t>Segundo año</t>
        </is>
      </c>
      <c r="B402" t="inlineStr">
        <is>
          <t>Primer periodo</t>
        </is>
      </c>
      <c r="C402" t="n">
        <v>107</v>
      </c>
      <c r="D402" t="n">
        <v>400</v>
      </c>
      <c r="E402" s="3" t="n">
        <v>46002</v>
      </c>
      <c r="F402" t="inlineStr">
        <is>
          <t>Punto de Acuerdo</t>
        </is>
      </c>
      <c r="G402" t="inlineStr">
        <is>
          <t>Acuerdo por el que se exhorta a la secretaría de planeación, finanzas y administración; a la secretaría de ciencia, humanidades, tecnología e innovación, así como a los doscientos doce ayuntamientos y cinco concejos municipales del estado, para que, en el ámbito de su competencia promuevan entre las dependencias y entidades estatales y municipales, la atención preferencial, ágil y simplificada de las personas adultas mayores y personas con discapacidad</t>
        </is>
      </c>
      <c r="H402" t="n">
        <v>2</v>
      </c>
      <c r="I402" t="inlineStr">
        <is>
          <t>Pobreza y Política Social</t>
        </is>
      </c>
      <c r="J402" t="n">
        <v>40</v>
      </c>
      <c r="K402" t="n">
        <v>0</v>
      </c>
      <c r="L402" t="n">
        <v>0</v>
      </c>
      <c r="M402" t="n">
        <v>1</v>
      </c>
      <c r="N402">
        <f>SUM(J402:M402)</f>
        <v/>
      </c>
      <c r="O402" s="4">
        <f>SUM(J402:L402)/SUM(J402:M402)</f>
        <v/>
      </c>
      <c r="P402" s="5">
        <f>MAX(J402:L402)/SUM(J402:L402)</f>
        <v/>
      </c>
    </row>
    <row r="403">
      <c r="A403" t="inlineStr">
        <is>
          <t>Segundo año</t>
        </is>
      </c>
      <c r="B403" t="inlineStr">
        <is>
          <t>Primer periodo</t>
        </is>
      </c>
      <c r="C403" t="n">
        <v>108</v>
      </c>
      <c r="D403" t="n">
        <v>401</v>
      </c>
      <c r="E403" s="3" t="n">
        <v>46002</v>
      </c>
      <c r="F403" t="inlineStr">
        <is>
          <t>Punto de Acuerdo</t>
        </is>
      </c>
      <c r="G403" t="inlineStr">
        <is>
          <t>Acuerdo por el que se exhorta a la secretaría de salud y a la secretaría de educación pública, ambas del estado, para que, en el ámbito de su competencia y en coordinación con los doscientos doce ayuntamientos y cinco concejos municipales de la entidad, implementen campañas de difusión, así como la prestación de servicios de salud sexual y reproductiva a la sociedad</t>
        </is>
      </c>
      <c r="H403" t="n">
        <v>6</v>
      </c>
      <c r="I403" t="inlineStr">
        <is>
          <t>Salud</t>
        </is>
      </c>
      <c r="J403" t="n">
        <v>35</v>
      </c>
      <c r="K403" t="n">
        <v>0</v>
      </c>
      <c r="L403" t="n">
        <v>5</v>
      </c>
      <c r="M403" t="n">
        <v>1</v>
      </c>
      <c r="N403">
        <f>SUM(J403:M403)</f>
        <v/>
      </c>
      <c r="O403" s="4">
        <f>SUM(J403:L403)/SUM(J403:M403)</f>
        <v/>
      </c>
      <c r="P403" s="5">
        <f>MAX(J403:L403)/SUM(J403:L403)</f>
        <v/>
      </c>
    </row>
    <row r="404">
      <c r="A404" t="inlineStr">
        <is>
          <t>Segundo año</t>
        </is>
      </c>
      <c r="B404" t="inlineStr">
        <is>
          <t>Primer periodo</t>
        </is>
      </c>
      <c r="C404" t="n">
        <v>109</v>
      </c>
      <c r="D404" t="n">
        <v>402</v>
      </c>
      <c r="E404" s="3" t="n">
        <v>46002</v>
      </c>
      <c r="F404" t="inlineStr">
        <is>
          <t>Punto de Acuerdo</t>
        </is>
      </c>
      <c r="G404" t="inlineStr">
        <is>
          <t>Acuerdo por el que se exhorta al organismo público descentralizado denominado “carreteras de cuota”, para que analice la factibilidad de la condonación del cobro de peaje en la “caseta Mazapiltepec”, en favor de los vehículos destinados a la recolección de residuos sólidos, ambulancias, patrullas y unidades de protección civil</t>
        </is>
      </c>
      <c r="H404" t="n">
        <v>11</v>
      </c>
      <c r="I404" t="inlineStr">
        <is>
          <t>Infraestructura, Movilidad y Transporte</t>
        </is>
      </c>
      <c r="J404" t="n">
        <v>40</v>
      </c>
      <c r="K404" t="n">
        <v>0</v>
      </c>
      <c r="L404" t="n">
        <v>0</v>
      </c>
      <c r="M404" t="n">
        <v>1</v>
      </c>
      <c r="N404">
        <f>SUM(J404:M404)</f>
        <v/>
      </c>
      <c r="O404" s="4">
        <f>SUM(J404:L404)/SUM(J404:M404)</f>
        <v/>
      </c>
      <c r="P404" s="5">
        <f>MAX(J404:L404)/SUM(J404:L404)</f>
        <v/>
      </c>
    </row>
    <row r="405">
      <c r="A405" t="inlineStr">
        <is>
          <t>Segundo año</t>
        </is>
      </c>
      <c r="B405" t="inlineStr">
        <is>
          <t>Primer periodo</t>
        </is>
      </c>
      <c r="C405" t="n">
        <v>110</v>
      </c>
      <c r="D405" t="n">
        <v>403</v>
      </c>
      <c r="E405" s="3" t="n">
        <v>46002</v>
      </c>
      <c r="F405" t="inlineStr">
        <is>
          <t>Punto de Acuerdo</t>
        </is>
      </c>
      <c r="G405" t="inlineStr">
        <is>
          <t>Acuerdo por el que se exhorta a la secretaría de movilidad y transporte del estado, para que, en el ámbito de su competencia, implemente estrategias y campañas informativas sobre los derechos y obligaciones de las personas usuarias</t>
        </is>
      </c>
      <c r="H405" t="n">
        <v>11</v>
      </c>
      <c r="I405" t="inlineStr">
        <is>
          <t>Infraestructura, Movilidad y Transporte</t>
        </is>
      </c>
      <c r="J405" t="n">
        <v>40</v>
      </c>
      <c r="K405" t="n">
        <v>0</v>
      </c>
      <c r="L405" t="n">
        <v>0</v>
      </c>
      <c r="M405" t="n">
        <v>1</v>
      </c>
      <c r="N405">
        <f>SUM(J405:M405)</f>
        <v/>
      </c>
      <c r="O405" s="4">
        <f>SUM(J405:L405)/SUM(J405:M405)</f>
        <v/>
      </c>
      <c r="P405" s="5">
        <f>MAX(J405:L405)/SUM(J405:L405)</f>
        <v/>
      </c>
    </row>
    <row r="406">
      <c r="A406" t="inlineStr">
        <is>
          <t>Segundo año</t>
        </is>
      </c>
      <c r="B406" t="inlineStr">
        <is>
          <t>Primer periodo</t>
        </is>
      </c>
      <c r="C406" t="n">
        <v>111</v>
      </c>
      <c r="D406" t="n">
        <v>404</v>
      </c>
      <c r="E406" s="3" t="n">
        <v>46002</v>
      </c>
      <c r="F406" t="inlineStr">
        <is>
          <t>Punto de Acuerdo</t>
        </is>
      </c>
      <c r="G406" t="inlineStr">
        <is>
          <t>Acuerdo por el que se exhorta a la secretaría de movilidad y transporte del estado, para que supervise la prestación del servicio ejecutivo de transporte, a fin de verificar que se apegue a las disposiciones aplicables</t>
        </is>
      </c>
      <c r="H406" t="n">
        <v>11</v>
      </c>
      <c r="I406" t="inlineStr">
        <is>
          <t>Infraestructura, Movilidad y Transporte</t>
        </is>
      </c>
      <c r="J406" t="n">
        <v>40</v>
      </c>
      <c r="K406" t="n">
        <v>0</v>
      </c>
      <c r="L406" t="n">
        <v>0</v>
      </c>
      <c r="M406" t="n">
        <v>1</v>
      </c>
      <c r="N406">
        <f>SUM(J406:M406)</f>
        <v/>
      </c>
      <c r="O406" s="4">
        <f>SUM(J406:L406)/SUM(J406:M406)</f>
        <v/>
      </c>
      <c r="P406" s="5">
        <f>MAX(J406:L406)/SUM(J406:L406)</f>
        <v/>
      </c>
    </row>
    <row r="407">
      <c r="A407" t="inlineStr">
        <is>
          <t>Segundo año</t>
        </is>
      </c>
      <c r="B407" t="inlineStr">
        <is>
          <t>Primer periodo</t>
        </is>
      </c>
      <c r="C407" t="n">
        <v>112</v>
      </c>
      <c r="D407" t="n">
        <v>405</v>
      </c>
      <c r="E407" s="3" t="n">
        <v>46002</v>
      </c>
      <c r="F407" t="inlineStr">
        <is>
          <t>Punto de Acuerdo</t>
        </is>
      </c>
      <c r="G407" t="inlineStr">
        <is>
          <t>Acuerdo por el que se exhorta a los doscientos doce ayuntamientos y cinco concejos municipales del estado, para que, en el ámbito de sus atribuciones y en coordinación con las autoridades competentes, difundan y promuevan acciones para concientizar a la sociedad poblana sobre la conducción responsable, como la figura de “conductor designado”</t>
        </is>
      </c>
      <c r="H407" t="n">
        <v>11</v>
      </c>
      <c r="I407" t="inlineStr">
        <is>
          <t>Infraestructura, Movilidad y Transporte</t>
        </is>
      </c>
      <c r="J407" t="n">
        <v>40</v>
      </c>
      <c r="K407" t="n">
        <v>0</v>
      </c>
      <c r="L407" t="n">
        <v>0</v>
      </c>
      <c r="M407" t="n">
        <v>1</v>
      </c>
      <c r="N407">
        <f>SUM(J407:M407)</f>
        <v/>
      </c>
      <c r="O407" s="4">
        <f>SUM(J407:L407)/SUM(J407:M407)</f>
        <v/>
      </c>
      <c r="P407" s="5">
        <f>MAX(J407:L407)/SUM(J407:L407)</f>
        <v/>
      </c>
    </row>
    <row r="408">
      <c r="A408" t="inlineStr">
        <is>
          <t>Segundo año</t>
        </is>
      </c>
      <c r="B408" t="inlineStr">
        <is>
          <t>Primer periodo</t>
        </is>
      </c>
      <c r="C408" t="n">
        <v>113</v>
      </c>
      <c r="D408" t="n">
        <v>406</v>
      </c>
      <c r="E408" s="3" t="n">
        <v>46002</v>
      </c>
      <c r="F408" t="inlineStr">
        <is>
          <t>Punto de Acuerdo</t>
        </is>
      </c>
      <c r="G408" t="inlineStr">
        <is>
          <t>Acuerdo por el que se exhorta a la secretaría de educación pública para que, en coordinación con la secretaría de salud, ambas del estado, diseñe e implemente campañas informativas sobre la prevención, detección y efectos de la diabetes</t>
        </is>
      </c>
      <c r="H408" t="n">
        <v>6</v>
      </c>
      <c r="I408" t="inlineStr">
        <is>
          <t>Salud</t>
        </is>
      </c>
      <c r="J408" t="n">
        <v>40</v>
      </c>
      <c r="K408" t="n">
        <v>0</v>
      </c>
      <c r="L408" t="n">
        <v>0</v>
      </c>
      <c r="M408" t="n">
        <v>1</v>
      </c>
      <c r="N408">
        <f>SUM(J408:M408)</f>
        <v/>
      </c>
      <c r="O408" s="4">
        <f>SUM(J408:L408)/SUM(J408:M408)</f>
        <v/>
      </c>
      <c r="P408" s="5">
        <f>MAX(J408:L408)/SUM(J408:L408)</f>
        <v/>
      </c>
    </row>
    <row r="409">
      <c r="A409" t="inlineStr">
        <is>
          <t>Segundo año</t>
        </is>
      </c>
      <c r="B409" t="inlineStr">
        <is>
          <t>Primer periodo</t>
        </is>
      </c>
      <c r="C409" t="n">
        <v>114</v>
      </c>
      <c r="D409" t="n">
        <v>407</v>
      </c>
      <c r="E409" s="3" t="n">
        <v>46002</v>
      </c>
      <c r="F409" t="inlineStr">
        <is>
          <t>Punto de Acuerdo</t>
        </is>
      </c>
      <c r="G409" t="inlineStr">
        <is>
          <t>Acuerdo por el que se exhorta a los doscientos doce ayuntamientos y cinco concejos municipales del estado para que, en coordinación con la secretaría de desarrollo económico y trabajo, promuevan y difundan la marca “cinco de mayo”</t>
        </is>
      </c>
      <c r="H409" t="n">
        <v>1</v>
      </c>
      <c r="I409" t="inlineStr">
        <is>
          <t>Economía, Comercio y Competitividad</t>
        </is>
      </c>
      <c r="J409" t="n">
        <v>40</v>
      </c>
      <c r="K409" t="n">
        <v>0</v>
      </c>
      <c r="L409" t="n">
        <v>0</v>
      </c>
      <c r="M409" t="n">
        <v>1</v>
      </c>
      <c r="N409">
        <f>SUM(J409:M409)</f>
        <v/>
      </c>
      <c r="O409" s="4">
        <f>SUM(J409:L409)/SUM(J409:M409)</f>
        <v/>
      </c>
      <c r="P409" s="5">
        <f>MAX(J409:L409)/SUM(J409:L409)</f>
        <v/>
      </c>
    </row>
    <row r="410">
      <c r="A410" t="inlineStr">
        <is>
          <t>Segundo año</t>
        </is>
      </c>
      <c r="B410" t="inlineStr">
        <is>
          <t>Primer periodo</t>
        </is>
      </c>
      <c r="C410" t="n">
        <v>115</v>
      </c>
      <c r="D410" t="n">
        <v>408</v>
      </c>
      <c r="E410" s="3" t="n">
        <v>46002</v>
      </c>
      <c r="F410" t="inlineStr">
        <is>
          <t>Punto de Acuerdo</t>
        </is>
      </c>
      <c r="G410" t="inlineStr">
        <is>
          <t>Acuerdo por el que se exhorta a la secretaría de desarrollo económico y trabajo y a la secretaría de las mujeres, ambas del estado, para que, en el ámbito de su competencia y de manera coordinada con los doscientos doce ayuntamientos y cinco concejos municipales de la entidad, impulsen programas de capacitación, emprendimiento, apoyo económico y microcréditos para madres autónomas</t>
        </is>
      </c>
      <c r="H410" t="n">
        <v>16</v>
      </c>
      <c r="I410" t="inlineStr">
        <is>
          <t>Trabajo y Previsión Social</t>
        </is>
      </c>
      <c r="J410" t="n">
        <v>40</v>
      </c>
      <c r="K410" t="n">
        <v>0</v>
      </c>
      <c r="L410" t="n">
        <v>0</v>
      </c>
      <c r="M410" t="n">
        <v>1</v>
      </c>
      <c r="N410">
        <f>SUM(J410:M410)</f>
        <v/>
      </c>
      <c r="O410" s="4">
        <f>SUM(J410:L410)/SUM(J410:M410)</f>
        <v/>
      </c>
      <c r="P410" s="5">
        <f>MAX(J410:L410)/SUM(J410:L410)</f>
        <v/>
      </c>
    </row>
    <row r="411">
      <c r="A411" t="inlineStr">
        <is>
          <t>Segundo año</t>
        </is>
      </c>
      <c r="B411" t="inlineStr">
        <is>
          <t>Primer periodo</t>
        </is>
      </c>
      <c r="C411" t="n">
        <v>116</v>
      </c>
      <c r="D411" t="n">
        <v>409</v>
      </c>
      <c r="E411" s="3" t="n">
        <v>46002</v>
      </c>
      <c r="F411" t="inlineStr">
        <is>
          <t>Punto de Acuerdo</t>
        </is>
      </c>
      <c r="G411" t="inlineStr">
        <is>
          <t>Acuerdo por el que se exhorta a la secretaría de desarrollo turístico y a la secretaría de desarrollo económico y trabajo, ambas del estado, para que, en el ámbito de su respectiva competencia y en coordinación con los ayuntamientos de los municipios de San Martín Texmelucan, Cuetzalan, Atlixco, Teziutlán y Huauchinango, implementen una estrategia integral de difusión y promoción turística, cultural y comercial</t>
        </is>
      </c>
      <c r="H411" t="n">
        <v>1</v>
      </c>
      <c r="I411" t="inlineStr">
        <is>
          <t>Economía, Comercio y Competitividad</t>
        </is>
      </c>
      <c r="J411" t="n">
        <v>40</v>
      </c>
      <c r="K411" t="n">
        <v>0</v>
      </c>
      <c r="L411" t="n">
        <v>0</v>
      </c>
      <c r="M411" t="n">
        <v>1</v>
      </c>
      <c r="N411">
        <f>SUM(J411:M411)</f>
        <v/>
      </c>
      <c r="O411" s="4">
        <f>SUM(J411:L411)/SUM(J411:M411)</f>
        <v/>
      </c>
      <c r="P411" s="5">
        <f>MAX(J411:L411)/SUM(J411:L411)</f>
        <v/>
      </c>
    </row>
    <row r="412">
      <c r="A412" t="inlineStr">
        <is>
          <t>Segundo año</t>
        </is>
      </c>
      <c r="B412" t="inlineStr">
        <is>
          <t>Primer periodo</t>
        </is>
      </c>
      <c r="C412" t="n">
        <v>117</v>
      </c>
      <c r="D412" t="n">
        <v>410</v>
      </c>
      <c r="E412" s="3" t="n">
        <v>46002</v>
      </c>
      <c r="F412" t="inlineStr">
        <is>
          <t>Punto de Acuerdo</t>
        </is>
      </c>
      <c r="G412" t="inlineStr">
        <is>
          <t>Acuerdo por el que se exhorta a la secretaría de deporte y juventud, la secretaría de salud y a la secretaría de educación pública, todas del gobierno del estado, para que, en el ámbito de su competencia, diseñen, implementen y fortalezcan acciones y campañas permanentes de prevención, sensibilización y concientización sobre el uso de sustancias prohibidas y prácticas de dopaje en el deporte</t>
        </is>
      </c>
      <c r="H412" t="n">
        <v>6</v>
      </c>
      <c r="I412" t="inlineStr">
        <is>
          <t>Salud</t>
        </is>
      </c>
      <c r="J412" t="n">
        <v>40</v>
      </c>
      <c r="K412" t="n">
        <v>0</v>
      </c>
      <c r="L412" t="n">
        <v>0</v>
      </c>
      <c r="M412" t="n">
        <v>1</v>
      </c>
      <c r="N412">
        <f>SUM(J412:M412)</f>
        <v/>
      </c>
      <c r="O412" s="4">
        <f>SUM(J412:L412)/SUM(J412:M412)</f>
        <v/>
      </c>
      <c r="P412" s="5">
        <f>MAX(J412:L412)/SUM(J412:L412)</f>
        <v/>
      </c>
    </row>
    <row r="413">
      <c r="A413" t="inlineStr">
        <is>
          <t>Segundo año</t>
        </is>
      </c>
      <c r="B413" t="inlineStr">
        <is>
          <t>Primer periodo</t>
        </is>
      </c>
      <c r="C413" t="n">
        <v>118</v>
      </c>
      <c r="D413" t="n">
        <v>411</v>
      </c>
      <c r="E413" s="3" t="n">
        <v>46002</v>
      </c>
      <c r="F413" t="inlineStr">
        <is>
          <t>Punto de Acuerdo</t>
        </is>
      </c>
      <c r="G413" t="inlineStr">
        <is>
          <t>Acuerdo por el que se exhorta a los doscientos doce ayuntamientos y cinco concejos municipales del estado, para que, en coordinación con el instituto de bienestar animal, diseñen y ejecuten acciones de ubicación, captación, resguardo y, en su caso, adopción de perros y animales en situación de calle</t>
        </is>
      </c>
      <c r="H413" t="n">
        <v>5</v>
      </c>
      <c r="I413" t="inlineStr">
        <is>
          <t>Medio Ambiente</t>
        </is>
      </c>
      <c r="J413" t="n">
        <v>40</v>
      </c>
      <c r="K413" t="n">
        <v>0</v>
      </c>
      <c r="L413" t="n">
        <v>0</v>
      </c>
      <c r="M413" t="n">
        <v>1</v>
      </c>
      <c r="N413">
        <f>SUM(J413:M413)</f>
        <v/>
      </c>
      <c r="O413" s="4">
        <f>SUM(J413:L413)/SUM(J413:M413)</f>
        <v/>
      </c>
      <c r="P413" s="5">
        <f>MAX(J413:L413)/SUM(J413:L413)</f>
        <v/>
      </c>
    </row>
    <row r="414">
      <c r="A414" t="inlineStr">
        <is>
          <t>Segundo año</t>
        </is>
      </c>
      <c r="B414" t="inlineStr">
        <is>
          <t>Primer periodo</t>
        </is>
      </c>
      <c r="C414" t="n">
        <v>119</v>
      </c>
      <c r="D414" t="n">
        <v>412</v>
      </c>
      <c r="E414" s="3" t="n">
        <v>46002</v>
      </c>
      <c r="F414" t="inlineStr">
        <is>
          <t>Punto de Acuerdo</t>
        </is>
      </c>
      <c r="G414" t="inlineStr">
        <is>
          <t>Acuerdo por el que se exhorta a los doscientos doce ayuntamientos y cinco concejos municipales del estado, para que, en coordinación con la secretaría de educación pública y atendiendo su disponibilidad presupuestal, realicen el mantenimiento, actualización, digitalización y/o mejora de las bibliotecas públicas de sus municipios</t>
        </is>
      </c>
      <c r="H414" t="n">
        <v>8</v>
      </c>
      <c r="I414" t="inlineStr">
        <is>
          <t>Educación y Cultura</t>
        </is>
      </c>
      <c r="J414" t="n">
        <v>40</v>
      </c>
      <c r="K414" t="n">
        <v>0</v>
      </c>
      <c r="L414" t="n">
        <v>0</v>
      </c>
      <c r="M414" t="n">
        <v>1</v>
      </c>
      <c r="N414">
        <f>SUM(J414:M414)</f>
        <v/>
      </c>
      <c r="O414" s="4">
        <f>SUM(J414:L414)/SUM(J414:M414)</f>
        <v/>
      </c>
      <c r="P414" s="5">
        <f>MAX(J414:L414)/SUM(J414:L414)</f>
        <v/>
      </c>
    </row>
    <row r="415">
      <c r="A415" t="inlineStr">
        <is>
          <t>Segundo año</t>
        </is>
      </c>
      <c r="B415" t="inlineStr">
        <is>
          <t>Primer periodo</t>
        </is>
      </c>
      <c r="C415" t="n">
        <v>120</v>
      </c>
      <c r="D415" t="n">
        <v>413</v>
      </c>
      <c r="E415" s="3" t="n">
        <v>46002</v>
      </c>
      <c r="F415" t="inlineStr">
        <is>
          <t>Punto de Acuerdo</t>
        </is>
      </c>
      <c r="G415" t="inlineStr">
        <is>
          <t>Acuerdo por el que se exhorta a los doscientos doce ayuntamientos y cinco concejos municipales del estado, para que, en el ámbito de sus atribuciones y en coordinación con las autoridades competentes, habiliten albergues temporales para la atención de personas en situación de calle en sus demarcaciones</t>
        </is>
      </c>
      <c r="H415" t="n">
        <v>3</v>
      </c>
      <c r="I415" t="inlineStr">
        <is>
          <t>Seguridad Pública, Protección Civil y Narcotráfico</t>
        </is>
      </c>
      <c r="J415" t="n">
        <v>40</v>
      </c>
      <c r="K415" t="n">
        <v>0</v>
      </c>
      <c r="L415" t="n">
        <v>0</v>
      </c>
      <c r="M415" t="n">
        <v>1</v>
      </c>
      <c r="N415">
        <f>SUM(J415:M415)</f>
        <v/>
      </c>
      <c r="O415" s="4">
        <f>SUM(J415:L415)/SUM(J415:M415)</f>
        <v/>
      </c>
      <c r="P415" s="5">
        <f>MAX(J415:L415)/SUM(J415:L415)</f>
        <v/>
      </c>
    </row>
    <row r="416">
      <c r="A416" t="inlineStr">
        <is>
          <t>Segundo año</t>
        </is>
      </c>
      <c r="B416" t="inlineStr">
        <is>
          <t>Primer periodo</t>
        </is>
      </c>
      <c r="C416" t="n">
        <v>121</v>
      </c>
      <c r="D416" t="n">
        <v>414</v>
      </c>
      <c r="E416" s="3" t="n">
        <v>46006</v>
      </c>
      <c r="F416" t="inlineStr">
        <is>
          <t>Punto de Acuerdo</t>
        </is>
      </c>
      <c r="G416" t="inlineStr">
        <is>
          <t>Acuerdo por el cual la elección de los miembros de la comisión permanente</t>
        </is>
      </c>
      <c r="H416" t="n">
        <v>19</v>
      </c>
      <c r="I416" t="inlineStr">
        <is>
          <t>Internos del Congreso</t>
        </is>
      </c>
      <c r="J416" t="n">
        <v>31</v>
      </c>
      <c r="K416" t="n">
        <v>0</v>
      </c>
      <c r="L416" t="n">
        <v>0</v>
      </c>
      <c r="M416" t="n">
        <v>0</v>
      </c>
      <c r="N416">
        <f>SUM(J416:M416)</f>
        <v/>
      </c>
      <c r="O416" s="4">
        <f>SUM(J416:L416)/SUM(J416:M416)</f>
        <v/>
      </c>
      <c r="P416" s="5">
        <f>MAX(J416:L416)/SUM(J416:L416)</f>
        <v/>
      </c>
    </row>
    <row r="417">
      <c r="A417" t="inlineStr">
        <is>
          <t>Segundo año</t>
        </is>
      </c>
      <c r="B417" t="inlineStr">
        <is>
          <t>Primer periodo</t>
        </is>
      </c>
      <c r="C417" t="n">
        <v>122</v>
      </c>
      <c r="D417" t="n">
        <v>415</v>
      </c>
      <c r="E417" s="3" t="n">
        <v>46006</v>
      </c>
      <c r="F417" t="inlineStr">
        <is>
          <t>Iniciativa</t>
        </is>
      </c>
      <c r="G417" t="inlineStr">
        <is>
          <t>Dictamen con minuta de decreto por el cual se reforman la fracción II del artículo 34, y las fracciones xxviii, xxx, xxxii y xxxiv del 44; se deroga la fracción xxxi del artículo 44; y se adiciona la fracción xxviii bis al artículo 44 de la ley orgánica de la administración pública del estado</t>
        </is>
      </c>
      <c r="H417" t="n">
        <v>18</v>
      </c>
      <c r="I417" t="inlineStr">
        <is>
          <t>Administración Pública</t>
        </is>
      </c>
      <c r="J417" t="n">
        <v>28</v>
      </c>
      <c r="K417" t="n">
        <v>4</v>
      </c>
      <c r="L417" t="n">
        <v>0</v>
      </c>
      <c r="M417" t="n">
        <v>0</v>
      </c>
      <c r="N417">
        <f>SUM(J417:M417)</f>
        <v/>
      </c>
      <c r="O417" s="4">
        <f>SUM(J417:L417)/SUM(J417:M417)</f>
        <v/>
      </c>
      <c r="P417" s="5">
        <f>MAX(J417:L417)/SUM(J417:L417)</f>
        <v/>
      </c>
    </row>
    <row r="418">
      <c r="A418" t="inlineStr">
        <is>
          <t>Segundo año</t>
        </is>
      </c>
      <c r="B418" t="inlineStr">
        <is>
          <t>Primer periodo</t>
        </is>
      </c>
      <c r="C418" t="n">
        <v>123</v>
      </c>
      <c r="D418" t="n">
        <v>416</v>
      </c>
      <c r="E418" s="3" t="n">
        <v>46006</v>
      </c>
      <c r="F418" t="inlineStr">
        <is>
          <t>Iniciativa</t>
        </is>
      </c>
      <c r="G418" t="inlineStr">
        <is>
          <t>Dictamen con minuta de decreto por el cual se reforma el artículo 292 bis del código penal para el estado libre y soberano</t>
        </is>
      </c>
      <c r="H418" t="n">
        <v>14</v>
      </c>
      <c r="I418" t="inlineStr">
        <is>
          <t>Justicia y Estado de Derecho</t>
        </is>
      </c>
      <c r="J418" t="n">
        <v>32</v>
      </c>
      <c r="K418" t="n">
        <v>0</v>
      </c>
      <c r="L418" t="n">
        <v>0</v>
      </c>
      <c r="M418" t="n">
        <v>0</v>
      </c>
      <c r="N418">
        <f>SUM(J418:M418)</f>
        <v/>
      </c>
      <c r="O418" s="4">
        <f>SUM(J418:L418)/SUM(J418:M418)</f>
        <v/>
      </c>
      <c r="P418" s="5">
        <f>MAX(J418:L418)/SUM(J418:L418)</f>
        <v/>
      </c>
    </row>
    <row r="419">
      <c r="A419" t="inlineStr">
        <is>
          <t>Segundo año</t>
        </is>
      </c>
      <c r="B419" t="inlineStr">
        <is>
          <t>Primer periodo</t>
        </is>
      </c>
      <c r="C419" t="n">
        <v>124</v>
      </c>
      <c r="D419" t="n">
        <v>417</v>
      </c>
      <c r="E419" s="3" t="n">
        <v>46006</v>
      </c>
      <c r="F419" t="inlineStr">
        <is>
          <t>Iniciativa</t>
        </is>
      </c>
      <c r="G419" t="inlineStr">
        <is>
          <t>Dictamen con minuta de decreto por el cual se crean los servicios de salud del estado</t>
        </is>
      </c>
      <c r="H419" t="n">
        <v>6</v>
      </c>
      <c r="I419" t="inlineStr">
        <is>
          <t>Salud</t>
        </is>
      </c>
      <c r="J419" t="n">
        <v>28</v>
      </c>
      <c r="K419" t="n">
        <v>4</v>
      </c>
      <c r="L419" t="n">
        <v>0</v>
      </c>
      <c r="M419" t="n">
        <v>0</v>
      </c>
      <c r="N419">
        <f>SUM(J419:M419)</f>
        <v/>
      </c>
      <c r="O419" s="4">
        <f>SUM(J419:L419)/SUM(J419:M419)</f>
        <v/>
      </c>
      <c r="P419" s="5">
        <f>MAX(J419:L419)/SUM(J419:L419)</f>
        <v/>
      </c>
    </row>
    <row r="420">
      <c r="A420" t="inlineStr">
        <is>
          <t>Segundo año</t>
        </is>
      </c>
      <c r="B420" t="inlineStr">
        <is>
          <t>Primer periodo</t>
        </is>
      </c>
      <c r="C420" t="n">
        <v>125</v>
      </c>
      <c r="D420" t="n">
        <v>418</v>
      </c>
      <c r="E420" s="3" t="n">
        <v>46006</v>
      </c>
      <c r="F420" t="inlineStr">
        <is>
          <t>Iniciativa</t>
        </is>
      </c>
      <c r="G420" t="inlineStr">
        <is>
          <t>Dictamen con minuta de decreto por el cual se autoriza al honorable ayuntamiento del municipio de, a través del presidente municipal, suscribir un contrato de comodato respecto al parque miguel bravo</t>
        </is>
      </c>
      <c r="H420" t="n">
        <v>7</v>
      </c>
      <c r="I420" t="inlineStr">
        <is>
          <t>Impuestos, Finanzas Públicas, Patrimonio estatal y municipal</t>
        </is>
      </c>
      <c r="J420" t="n">
        <v>32</v>
      </c>
      <c r="K420" t="n">
        <v>0</v>
      </c>
      <c r="L420" t="n">
        <v>0</v>
      </c>
      <c r="M420" t="n">
        <v>0</v>
      </c>
      <c r="N420">
        <f>SUM(J420:M420)</f>
        <v/>
      </c>
      <c r="O420" s="4">
        <f>SUM(J420:L420)/SUM(J420:M420)</f>
        <v/>
      </c>
      <c r="P420" s="5">
        <f>MAX(J420:L420)/SUM(J420:L420)</f>
        <v/>
      </c>
    </row>
    <row r="421">
      <c r="A421" t="inlineStr">
        <is>
          <t>Segundo año</t>
        </is>
      </c>
      <c r="B421" t="inlineStr">
        <is>
          <t>Primer periodo</t>
        </is>
      </c>
      <c r="C421" t="n">
        <v>126</v>
      </c>
      <c r="D421" t="n">
        <v>419</v>
      </c>
      <c r="E421" s="3" t="n">
        <v>46006</v>
      </c>
      <c r="F421" t="inlineStr">
        <is>
          <t>Iniciativa</t>
        </is>
      </c>
      <c r="G421" t="inlineStr">
        <is>
          <t>Dictamen con minuta de decreto por el cual se autoriza al honorable ayuntamiento del municipio de acatlán, la enajenación bajo la figura de donación a título gratuito</t>
        </is>
      </c>
      <c r="H421" t="n">
        <v>7</v>
      </c>
      <c r="I421" t="inlineStr">
        <is>
          <t>Impuestos, Finanzas Públicas, Patrimonio estatal y municipal</t>
        </is>
      </c>
      <c r="J421" t="n">
        <v>33</v>
      </c>
      <c r="K421" t="n">
        <v>0</v>
      </c>
      <c r="L421" t="n">
        <v>0</v>
      </c>
      <c r="M421" t="n">
        <v>0</v>
      </c>
      <c r="N421">
        <f>SUM(J421:M421)</f>
        <v/>
      </c>
      <c r="O421" s="4">
        <f>SUM(J421:L421)/SUM(J421:M421)</f>
        <v/>
      </c>
      <c r="P421" s="5">
        <f>MAX(J421:L421)/SUM(J421:L421)</f>
        <v/>
      </c>
    </row>
    <row r="422">
      <c r="A422" t="inlineStr">
        <is>
          <t>Segundo año</t>
        </is>
      </c>
      <c r="B422" t="inlineStr">
        <is>
          <t>Primer periodo</t>
        </is>
      </c>
      <c r="C422" t="n">
        <v>127</v>
      </c>
      <c r="D422" t="n">
        <v>420</v>
      </c>
      <c r="E422" s="3" t="n">
        <v>46006</v>
      </c>
      <c r="F422" t="inlineStr">
        <is>
          <t>Iniciativa</t>
        </is>
      </c>
      <c r="G422" t="inlineStr">
        <is>
          <t>Dictamen con minuta de decreto por el cual se autoriza al honorable ayuntamiento del municipio de huauchinango, la enajenación bajo la figura de donación a título gratuito</t>
        </is>
      </c>
      <c r="H422" t="n">
        <v>7</v>
      </c>
      <c r="I422" t="inlineStr">
        <is>
          <t>Impuestos, Finanzas Públicas, Patrimonio estatal y municipal</t>
        </is>
      </c>
      <c r="J422" t="n">
        <v>33</v>
      </c>
      <c r="K422" t="n">
        <v>0</v>
      </c>
      <c r="L422" t="n">
        <v>0</v>
      </c>
      <c r="M422" t="n">
        <v>0</v>
      </c>
      <c r="N422">
        <f>SUM(J422:M422)</f>
        <v/>
      </c>
      <c r="O422" s="4">
        <f>SUM(J422:L422)/SUM(J422:M422)</f>
        <v/>
      </c>
      <c r="P422" s="5">
        <f>MAX(J422:L422)/SUM(J422:L422)</f>
        <v/>
      </c>
    </row>
    <row r="423">
      <c r="A423" t="inlineStr">
        <is>
          <t>Segundo año</t>
        </is>
      </c>
      <c r="B423" t="inlineStr">
        <is>
          <t>Primer periodo</t>
        </is>
      </c>
      <c r="C423" t="n">
        <v>128</v>
      </c>
      <c r="D423" t="n">
        <v>421</v>
      </c>
      <c r="E423" s="3" t="n">
        <v>46006</v>
      </c>
      <c r="F423" t="inlineStr">
        <is>
          <t>Iniciativa</t>
        </is>
      </c>
      <c r="G423" t="inlineStr">
        <is>
          <t>Dictamen con minuta de decreto por el cual se expide la ley de ingresos del municipio para el ejercicio fiscal 2026</t>
        </is>
      </c>
      <c r="H423" t="n">
        <v>7</v>
      </c>
      <c r="I423" t="inlineStr">
        <is>
          <t>Impuestos, Finanzas Públicas, Patrimonio estatal y municipal</t>
        </is>
      </c>
      <c r="J423" t="n">
        <v>34</v>
      </c>
      <c r="K423" t="n">
        <v>0</v>
      </c>
      <c r="L423" t="n">
        <v>0</v>
      </c>
      <c r="M423" t="n">
        <v>0</v>
      </c>
      <c r="N423">
        <f>SUM(J423:M423)</f>
        <v/>
      </c>
      <c r="O423" s="4">
        <f>SUM(J423:L423)/SUM(J423:M423)</f>
        <v/>
      </c>
      <c r="P423" s="5">
        <f>MAX(J423:L423)/SUM(J423:L423)</f>
        <v/>
      </c>
    </row>
    <row r="424">
      <c r="A424" t="inlineStr">
        <is>
          <t>Segundo año</t>
        </is>
      </c>
      <c r="B424" t="inlineStr">
        <is>
          <t>Primer periodo</t>
        </is>
      </c>
      <c r="C424" t="n">
        <v>129</v>
      </c>
      <c r="D424" t="n">
        <v>422</v>
      </c>
      <c r="E424" s="3" t="n">
        <v>46006</v>
      </c>
      <c r="F424" t="inlineStr">
        <is>
          <t>Iniciativa</t>
        </is>
      </c>
      <c r="G424" t="inlineStr">
        <is>
          <t>Dictamen con minuta de decreto por el cual se expide la ley de ingresos del municipio de cuautlancingo, para el ejercicio fiscal 2026</t>
        </is>
      </c>
      <c r="H424" t="n">
        <v>7</v>
      </c>
      <c r="I424" t="inlineStr">
        <is>
          <t>Impuestos, Finanzas Públicas, Patrimonio estatal y municipal</t>
        </is>
      </c>
      <c r="J424" t="n">
        <v>34</v>
      </c>
      <c r="K424" t="n">
        <v>0</v>
      </c>
      <c r="L424" t="n">
        <v>0</v>
      </c>
      <c r="M424" t="n">
        <v>0</v>
      </c>
      <c r="N424">
        <f>SUM(J424:M424)</f>
        <v/>
      </c>
      <c r="O424" s="4">
        <f>SUM(J424:L424)/SUM(J424:M424)</f>
        <v/>
      </c>
      <c r="P424" s="5">
        <f>MAX(J424:L424)/SUM(J424:L424)</f>
        <v/>
      </c>
    </row>
    <row r="425">
      <c r="A425" t="inlineStr">
        <is>
          <t>Segundo año</t>
        </is>
      </c>
      <c r="B425" t="inlineStr">
        <is>
          <t>Primer periodo</t>
        </is>
      </c>
      <c r="C425" t="n">
        <v>130</v>
      </c>
      <c r="D425" t="n">
        <v>423</v>
      </c>
      <c r="E425" s="3" t="n">
        <v>46006</v>
      </c>
      <c r="F425" t="inlineStr">
        <is>
          <t>Iniciativa</t>
        </is>
      </c>
      <c r="G425" t="inlineStr">
        <is>
          <t>Dictamen con minuta de decreto por el cual se expiden las leyes de ingresos municipales para el ejercicio fiscal 2026</t>
        </is>
      </c>
      <c r="H425" t="n">
        <v>7</v>
      </c>
      <c r="I425" t="inlineStr">
        <is>
          <t>Impuestos, Finanzas Públicas, Patrimonio estatal y municipal</t>
        </is>
      </c>
      <c r="J425" t="n">
        <v>34</v>
      </c>
      <c r="K425" t="n">
        <v>0</v>
      </c>
      <c r="L425" t="n">
        <v>1</v>
      </c>
      <c r="M425" t="n">
        <v>0</v>
      </c>
      <c r="N425">
        <f>SUM(J425:M425)</f>
        <v/>
      </c>
      <c r="O425" s="4">
        <f>SUM(J425:L425)/SUM(J425:M425)</f>
        <v/>
      </c>
      <c r="P425" s="5">
        <f>MAX(J425:L425)/SUM(J425:L425)</f>
        <v/>
      </c>
    </row>
    <row r="426">
      <c r="A426" t="inlineStr">
        <is>
          <t>Segundo año</t>
        </is>
      </c>
      <c r="B426" t="inlineStr">
        <is>
          <t>Primer periodo</t>
        </is>
      </c>
      <c r="C426" t="n">
        <v>131</v>
      </c>
      <c r="D426" t="n">
        <v>424</v>
      </c>
      <c r="E426" s="3" t="n">
        <v>46006</v>
      </c>
      <c r="F426" t="inlineStr">
        <is>
          <t>Punto de Acuerdo</t>
        </is>
      </c>
      <c r="G426" t="inlineStr">
        <is>
          <t>Acuerdo por el que se exhorta a la procuraduría federal del consumidor, delegación</t>
        </is>
      </c>
      <c r="H426" t="n">
        <v>1</v>
      </c>
      <c r="I426" t="inlineStr">
        <is>
          <t>Economía, Comercio y Competitividad</t>
        </is>
      </c>
      <c r="J426" t="n">
        <v>34</v>
      </c>
      <c r="K426" t="n">
        <v>0</v>
      </c>
      <c r="L426" t="n">
        <v>0</v>
      </c>
      <c r="M426" t="n">
        <v>0</v>
      </c>
      <c r="N426">
        <f>SUM(J426:M426)</f>
        <v/>
      </c>
      <c r="O426" s="4">
        <f>SUM(J426:L426)/SUM(J426:M426)</f>
        <v/>
      </c>
      <c r="P426" s="5">
        <f>MAX(J426:L426)/SUM(J426:L426)</f>
        <v/>
      </c>
    </row>
    <row r="427">
      <c r="A427" t="inlineStr">
        <is>
          <t>Segundo año</t>
        </is>
      </c>
      <c r="B427" t="inlineStr">
        <is>
          <t>Primer periodo</t>
        </is>
      </c>
      <c r="C427" t="n">
        <v>132</v>
      </c>
      <c r="D427" t="n">
        <v>425</v>
      </c>
      <c r="E427" s="3" t="n">
        <v>46006</v>
      </c>
      <c r="F427" t="inlineStr">
        <is>
          <t>Punto de Acuerdo</t>
        </is>
      </c>
      <c r="G427" t="inlineStr">
        <is>
          <t>Acuerdo por el que se exhorta al instituto poblano de los pueblos indígenas</t>
        </is>
      </c>
      <c r="H427" t="n">
        <v>2</v>
      </c>
      <c r="I427" t="inlineStr">
        <is>
          <t>Pobreza y Política Social</t>
        </is>
      </c>
      <c r="J427" t="n">
        <v>34</v>
      </c>
      <c r="K427" t="n">
        <v>0</v>
      </c>
      <c r="L427" t="n">
        <v>0</v>
      </c>
      <c r="M427" t="n">
        <v>0</v>
      </c>
      <c r="N427">
        <f>SUM(J427:M427)</f>
        <v/>
      </c>
      <c r="O427" s="4">
        <f>SUM(J427:L427)/SUM(J427:M427)</f>
        <v/>
      </c>
      <c r="P427" s="5">
        <f>MAX(J427:L427)/SUM(J427:L427)</f>
        <v/>
      </c>
    </row>
    <row r="428">
      <c r="A428" t="inlineStr">
        <is>
          <t>Segundo año</t>
        </is>
      </c>
      <c r="B428" t="inlineStr">
        <is>
          <t>Primer periodo</t>
        </is>
      </c>
      <c r="C428" t="n">
        <v>133</v>
      </c>
      <c r="D428" t="n">
        <v>426</v>
      </c>
      <c r="E428" s="3" t="n">
        <v>46006</v>
      </c>
      <c r="F428" t="inlineStr">
        <is>
          <t>Punto de Acuerdo</t>
        </is>
      </c>
      <c r="G428" t="inlineStr">
        <is>
          <t>Acuerdo por el que se exhorta a la comisión de derechos humanos del estado</t>
        </is>
      </c>
      <c r="H428" t="n">
        <v>14</v>
      </c>
      <c r="I428" t="inlineStr">
        <is>
          <t>Justicia y Estado de Derecho</t>
        </is>
      </c>
      <c r="J428" t="n">
        <v>34</v>
      </c>
      <c r="K428" t="n">
        <v>0</v>
      </c>
      <c r="L428" t="n">
        <v>5</v>
      </c>
      <c r="M428" t="n">
        <v>0</v>
      </c>
      <c r="N428">
        <f>SUM(J428:M428)</f>
        <v/>
      </c>
      <c r="O428" s="4">
        <f>SUM(J428:L428)/SUM(J428:M428)</f>
        <v/>
      </c>
      <c r="P428" s="5">
        <f>MAX(J428:L428)/SUM(J428:L428)</f>
        <v/>
      </c>
    </row>
    <row r="429">
      <c r="A429" t="inlineStr">
        <is>
          <t>Segundo año</t>
        </is>
      </c>
      <c r="B429" t="inlineStr">
        <is>
          <t>Primer periodo</t>
        </is>
      </c>
      <c r="C429" t="n">
        <v>134</v>
      </c>
      <c r="D429" t="n">
        <v>427</v>
      </c>
      <c r="E429" s="3" t="n">
        <v>46006</v>
      </c>
      <c r="F429" t="inlineStr">
        <is>
          <t>Punto de Acuerdo</t>
        </is>
      </c>
      <c r="G429" t="inlineStr">
        <is>
          <t>Acuerdo por el que se exhorta a la secretaría de salud y a los ayuntamientos para prevenir la temporada de frentes fríos</t>
        </is>
      </c>
      <c r="H429" t="n">
        <v>6</v>
      </c>
      <c r="I429" t="inlineStr">
        <is>
          <t>Salud</t>
        </is>
      </c>
      <c r="J429" t="n">
        <v>34</v>
      </c>
      <c r="K429" t="n">
        <v>0</v>
      </c>
      <c r="L429" t="n">
        <v>5</v>
      </c>
      <c r="M429" t="n">
        <v>0</v>
      </c>
      <c r="N429">
        <f>SUM(J429:M429)</f>
        <v/>
      </c>
      <c r="O429" s="4">
        <f>SUM(J429:L429)/SUM(J429:M429)</f>
        <v/>
      </c>
      <c r="P429" s="5">
        <f>MAX(J429:L429)/SUM(J429:L429)</f>
        <v/>
      </c>
    </row>
    <row r="430">
      <c r="A430" t="inlineStr">
        <is>
          <t>Segundo año</t>
        </is>
      </c>
      <c r="B430" t="inlineStr">
        <is>
          <t>Primer periodo</t>
        </is>
      </c>
      <c r="C430" t="n">
        <v>135</v>
      </c>
      <c r="D430" t="n">
        <v>428</v>
      </c>
      <c r="E430" s="3" t="n">
        <v>46007</v>
      </c>
      <c r="F430" t="inlineStr">
        <is>
          <t>Punto de Acuerdo</t>
        </is>
      </c>
      <c r="G430" t="inlineStr">
        <is>
          <t>Acuerdo por el cual llevar a cabo las sesiones en el salón de plenos de este recinto legislativo</t>
        </is>
      </c>
      <c r="H430" t="n">
        <v>19</v>
      </c>
      <c r="I430" t="inlineStr">
        <is>
          <t>Internos del Congreso</t>
        </is>
      </c>
      <c r="J430" t="n">
        <v>7</v>
      </c>
      <c r="K430" t="n">
        <v>0</v>
      </c>
      <c r="L430" t="n">
        <v>0</v>
      </c>
      <c r="M430" t="n">
        <v>0</v>
      </c>
      <c r="N430">
        <f>SUM(J430:M430)</f>
        <v/>
      </c>
      <c r="O430" s="4">
        <f>SUM(J430:L430)/SUM(J430:M430)</f>
        <v/>
      </c>
      <c r="P430" s="5">
        <f>MAX(J430:L430)/SUM(J430:L430)</f>
        <v/>
      </c>
    </row>
    <row r="431">
      <c r="A431" t="inlineStr">
        <is>
          <t>Segundo año</t>
        </is>
      </c>
      <c r="B431" t="inlineStr">
        <is>
          <t>Primer periodo</t>
        </is>
      </c>
      <c r="C431" t="n">
        <v>136</v>
      </c>
      <c r="D431" t="n">
        <v>429</v>
      </c>
      <c r="E431" s="3" t="n">
        <v>46010</v>
      </c>
      <c r="F431" t="inlineStr">
        <is>
          <t>Punto de Acuerdo</t>
        </is>
      </c>
      <c r="G431" t="inlineStr">
        <is>
          <t>Acuerdo por el cual exhorta a los cincuenta municipios incluidos en la declaratoria de alerta de violencia de género contra las mujeres para el estado de Puebla</t>
        </is>
      </c>
      <c r="H431" t="n">
        <v>20</v>
      </c>
      <c r="I431" t="inlineStr">
        <is>
          <t>Justicia y Estado de Derecho en temas de Mujeres</t>
        </is>
      </c>
      <c r="J431" t="n">
        <v>9</v>
      </c>
      <c r="K431" t="n">
        <v>0</v>
      </c>
      <c r="L431" t="n">
        <v>0</v>
      </c>
      <c r="M431" t="n">
        <v>0</v>
      </c>
      <c r="N431">
        <f>SUM(J431:M431)</f>
        <v/>
      </c>
      <c r="O431" s="4">
        <f>SUM(J431:L431)/SUM(J431:M431)</f>
        <v/>
      </c>
      <c r="P431" s="5">
        <f>MAX(J431:L431)/SUM(J431:L431)</f>
        <v/>
      </c>
    </row>
    <row r="432">
      <c r="A432" t="inlineStr">
        <is>
          <t>Segundo año</t>
        </is>
      </c>
      <c r="B432" t="inlineStr">
        <is>
          <t>Primer periodo</t>
        </is>
      </c>
      <c r="C432" t="n">
        <v>137</v>
      </c>
      <c r="D432" t="n">
        <v>430</v>
      </c>
      <c r="E432" s="3" t="n">
        <v>46010</v>
      </c>
      <c r="F432" t="inlineStr">
        <is>
          <t>Punto de Acuerdo</t>
        </is>
      </c>
      <c r="G432" t="inlineStr">
        <is>
          <t>Acuerdo por el cual exhorta a la secretaría de las mujeres para que, en coordinación con las secretarías de ciencia, humanidades, tecnología e innovación, y la de seguridad pública, todas del estado, diseñe e implemente estrategias digitales</t>
        </is>
      </c>
      <c r="H432" t="n">
        <v>20</v>
      </c>
      <c r="I432" t="inlineStr">
        <is>
          <t>Justicia y Estado de Derecho en temas de Mujeres</t>
        </is>
      </c>
      <c r="J432" t="n">
        <v>9</v>
      </c>
      <c r="K432" t="n">
        <v>0</v>
      </c>
      <c r="L432" t="n">
        <v>0</v>
      </c>
      <c r="M432" t="n">
        <v>0</v>
      </c>
      <c r="N432">
        <f>SUM(J432:M432)</f>
        <v/>
      </c>
      <c r="O432" s="4">
        <f>SUM(J432:L432)/SUM(J432:M432)</f>
        <v/>
      </c>
      <c r="P432" s="5">
        <f>MAX(J432:L432)/SUM(J432:L432)</f>
        <v/>
      </c>
    </row>
    <row r="433">
      <c r="A433" t="inlineStr">
        <is>
          <t>Segundo año</t>
        </is>
      </c>
      <c r="B433" t="inlineStr">
        <is>
          <t>Primer periodo</t>
        </is>
      </c>
      <c r="C433" t="n">
        <v>138</v>
      </c>
      <c r="D433" t="n">
        <v>431</v>
      </c>
      <c r="E433" s="3" t="n">
        <v>46010</v>
      </c>
      <c r="F433" t="inlineStr">
        <is>
          <t>Punto de Acuerdo</t>
        </is>
      </c>
      <c r="G433" t="inlineStr">
        <is>
          <t>Acuerdo por el cual exhorta a la secretaría de medio ambiente, desarrollo sustentable y ordenamiento territorial, y a los doscientos doce ayuntamientos y cinco concejos municipales del estado</t>
        </is>
      </c>
      <c r="H433" t="n">
        <v>5</v>
      </c>
      <c r="I433" t="inlineStr">
        <is>
          <t>Medio Ambiente</t>
        </is>
      </c>
      <c r="J433" t="n">
        <v>9</v>
      </c>
      <c r="K433" t="n">
        <v>0</v>
      </c>
      <c r="L433" t="n">
        <v>0</v>
      </c>
      <c r="M433" t="n">
        <v>0</v>
      </c>
      <c r="N433">
        <f>SUM(J433:M433)</f>
        <v/>
      </c>
      <c r="O433" s="4">
        <f>SUM(J433:L433)/SUM(J433:M433)</f>
        <v/>
      </c>
      <c r="P433" s="5">
        <f>MAX(J433:L433)/SUM(J433:L433)</f>
        <v/>
      </c>
    </row>
    <row r="434">
      <c r="A434" t="inlineStr">
        <is>
          <t>Segundo año</t>
        </is>
      </c>
      <c r="B434" t="inlineStr">
        <is>
          <t>Primer periodo</t>
        </is>
      </c>
      <c r="C434" t="n">
        <v>139</v>
      </c>
      <c r="D434" t="n">
        <v>432</v>
      </c>
      <c r="E434" s="3" t="n">
        <v>46010</v>
      </c>
      <c r="F434" t="inlineStr">
        <is>
          <t>Punto de Acuerdo</t>
        </is>
      </c>
      <c r="G434" t="inlineStr">
        <is>
          <t>Acuerdo por el cual exhorta a los doscientos doce ayuntamientos y a los cinco concejos municipales del estado para que, en el ámbito de sus atribuciones y en atención al objetivo de desarrollo sostenible número 13</t>
        </is>
      </c>
      <c r="H434" t="n">
        <v>5</v>
      </c>
      <c r="I434" t="inlineStr">
        <is>
          <t>Medio Ambiente</t>
        </is>
      </c>
      <c r="J434" t="n">
        <v>9</v>
      </c>
      <c r="K434" t="n">
        <v>0</v>
      </c>
      <c r="L434" t="n">
        <v>0</v>
      </c>
      <c r="M434" t="n">
        <v>0</v>
      </c>
      <c r="N434">
        <f>SUM(J434:M434)</f>
        <v/>
      </c>
      <c r="O434" s="4">
        <f>SUM(J434:L434)/SUM(J434:M434)</f>
        <v/>
      </c>
      <c r="P434" s="5">
        <f>MAX(J434:L434)/SUM(J434:L434)</f>
        <v/>
      </c>
    </row>
    <row r="435">
      <c r="A435" t="inlineStr">
        <is>
          <t>Segundo año</t>
        </is>
      </c>
      <c r="B435" t="inlineStr">
        <is>
          <t>Primer periodo</t>
        </is>
      </c>
      <c r="C435" t="n">
        <v>140</v>
      </c>
      <c r="D435" t="n">
        <v>433</v>
      </c>
      <c r="E435" s="3" t="n">
        <v>46031</v>
      </c>
      <c r="F435" t="inlineStr">
        <is>
          <t>Punto de Acuerdo</t>
        </is>
      </c>
      <c r="G435" t="inlineStr">
        <is>
          <t>Acuerdo por el cual dispensa de lectura</t>
        </is>
      </c>
      <c r="H435" t="n">
        <v>18</v>
      </c>
      <c r="I435" t="inlineStr">
        <is>
          <t>Administración Pública</t>
        </is>
      </c>
      <c r="J435" t="n">
        <v>6</v>
      </c>
      <c r="K435" t="n">
        <v>0</v>
      </c>
      <c r="L435" t="n">
        <v>0</v>
      </c>
      <c r="M435" t="n">
        <v>0</v>
      </c>
      <c r="N435">
        <f>SUM(J435:M435)</f>
        <v/>
      </c>
      <c r="O435" s="4">
        <f>SUM(J435:L435)/SUM(J435:M435)</f>
        <v/>
      </c>
      <c r="P435" s="5">
        <f>MAX(J435:L435)/SUM(J435:L435)</f>
        <v/>
      </c>
    </row>
    <row r="436">
      <c r="A436" t="inlineStr">
        <is>
          <t>Segundo año</t>
        </is>
      </c>
      <c r="B436" t="inlineStr">
        <is>
          <t>Primer periodo</t>
        </is>
      </c>
      <c r="C436" t="n">
        <v>141</v>
      </c>
      <c r="D436" t="n">
        <v>434</v>
      </c>
      <c r="E436" s="3" t="n">
        <v>46031</v>
      </c>
      <c r="F436" t="inlineStr">
        <is>
          <t>Punto de Acuerdo</t>
        </is>
      </c>
      <c r="G436" t="inlineStr">
        <is>
          <t>Acuerdo por el cual dispensa de su lectura</t>
        </is>
      </c>
      <c r="H436" t="n">
        <v>18</v>
      </c>
      <c r="I436" t="inlineStr">
        <is>
          <t>Administración Pública</t>
        </is>
      </c>
      <c r="J436" t="n">
        <v>6</v>
      </c>
      <c r="K436" t="n">
        <v>0</v>
      </c>
      <c r="L436" t="n">
        <v>0</v>
      </c>
      <c r="M436" t="n">
        <v>0</v>
      </c>
      <c r="N436">
        <f>SUM(J436:M436)</f>
        <v/>
      </c>
      <c r="O436" s="4">
        <f>SUM(J436:L436)/SUM(J436:M436)</f>
        <v/>
      </c>
      <c r="P436" s="5">
        <f>MAX(J436:L436)/SUM(J436:L436)</f>
        <v/>
      </c>
    </row>
    <row r="437">
      <c r="A437" t="inlineStr">
        <is>
          <t>Segundo año</t>
        </is>
      </c>
      <c r="B437" t="inlineStr">
        <is>
          <t>Primer periodo</t>
        </is>
      </c>
      <c r="C437" t="n">
        <v>142</v>
      </c>
      <c r="D437" t="n">
        <v>435</v>
      </c>
      <c r="E437" s="3" t="n">
        <v>46031</v>
      </c>
      <c r="F437" t="inlineStr">
        <is>
          <t>Punto de Acuerdo</t>
        </is>
      </c>
      <c r="G437" t="inlineStr">
        <is>
          <t>Acuerdo por el cual aprobado su contenido</t>
        </is>
      </c>
      <c r="H437" t="n">
        <v>18</v>
      </c>
      <c r="I437" t="inlineStr">
        <is>
          <t>Administración Pública</t>
        </is>
      </c>
      <c r="J437" t="n">
        <v>6</v>
      </c>
      <c r="K437" t="n">
        <v>0</v>
      </c>
      <c r="L437" t="n">
        <v>0</v>
      </c>
      <c r="M437" t="n">
        <v>0</v>
      </c>
      <c r="N437">
        <f>SUM(J437:M437)</f>
        <v/>
      </c>
      <c r="O437" s="4">
        <f>SUM(J437:L437)/SUM(J437:M437)</f>
        <v/>
      </c>
      <c r="P437" s="5">
        <f>MAX(J437:L437)/SUM(J437:L437)</f>
        <v/>
      </c>
    </row>
    <row r="438">
      <c r="A438" t="inlineStr">
        <is>
          <t>Segundo año</t>
        </is>
      </c>
      <c r="B438" t="inlineStr">
        <is>
          <t>Segundo periodo</t>
        </is>
      </c>
      <c r="C438" t="n">
        <v>1</v>
      </c>
      <c r="D438" t="n">
        <v>436</v>
      </c>
      <c r="E438" s="3" t="n">
        <v>46037</v>
      </c>
      <c r="F438" t="inlineStr">
        <is>
          <t>Punto de Acuerdo</t>
        </is>
      </c>
      <c r="G438" t="inlineStr">
        <is>
          <t>Acuerdo por el cual la votación de la terna para la elección del Auditor Superior del Estado</t>
        </is>
      </c>
      <c r="H438" t="n">
        <v>18</v>
      </c>
      <c r="I438" t="inlineStr">
        <is>
          <t>Administración Pública</t>
        </is>
      </c>
      <c r="J438" t="n">
        <v>37</v>
      </c>
      <c r="K438" t="n">
        <v>0</v>
      </c>
      <c r="L438" t="n">
        <v>1</v>
      </c>
      <c r="M438" t="n">
        <v>3</v>
      </c>
      <c r="N438">
        <f>SUM(J438:M438)</f>
        <v/>
      </c>
      <c r="O438" s="4">
        <f>SUM(J438:L438)/SUM(J438:M438)</f>
        <v/>
      </c>
      <c r="P438" s="5">
        <f>MAX(J438:L438)/SUM(J438:L438)</f>
        <v/>
      </c>
    </row>
    <row r="439">
      <c r="A439" t="inlineStr">
        <is>
          <t>Segundo año</t>
        </is>
      </c>
      <c r="B439" t="inlineStr">
        <is>
          <t>Segundo periodo</t>
        </is>
      </c>
      <c r="C439" t="n">
        <v>2</v>
      </c>
      <c r="D439" t="n">
        <v>437</v>
      </c>
      <c r="E439" s="3" t="n">
        <v>46044</v>
      </c>
      <c r="F439" t="inlineStr">
        <is>
          <t>Punto de Acuerdo</t>
        </is>
      </c>
      <c r="G439" t="inlineStr">
        <is>
          <t>Acuerdo por el cual retirar el punto treinta y uno del orden del día</t>
        </is>
      </c>
      <c r="H439" t="n">
        <v>19</v>
      </c>
      <c r="I439" t="inlineStr">
        <is>
          <t>Internos del Congreso</t>
        </is>
      </c>
      <c r="J439" t="n">
        <v>41</v>
      </c>
      <c r="K439" t="n">
        <v>0</v>
      </c>
      <c r="L439" t="n">
        <v>0</v>
      </c>
      <c r="M439" t="n">
        <v>0</v>
      </c>
      <c r="N439">
        <f>SUM(J439:M439)</f>
        <v/>
      </c>
      <c r="O439" s="4">
        <f>SUM(J439:L439)/SUM(J439:M439)</f>
        <v/>
      </c>
      <c r="P439" s="5">
        <f>MAX(J439:L439)/SUM(J439:L439)</f>
        <v/>
      </c>
    </row>
    <row r="440">
      <c r="A440" t="inlineStr">
        <is>
          <t>Segundo año</t>
        </is>
      </c>
      <c r="B440" t="inlineStr">
        <is>
          <t>Segundo periodo</t>
        </is>
      </c>
      <c r="C440" t="n">
        <v>3</v>
      </c>
      <c r="D440" t="n">
        <v>438</v>
      </c>
      <c r="E440" s="3" t="n">
        <v>46051</v>
      </c>
      <c r="F440" t="inlineStr">
        <is>
          <t>Iniciativa</t>
        </is>
      </c>
      <c r="G440" t="inlineStr">
        <is>
          <t>Dictamen con minuta de decreto por el cual se reforman y adicionan diversas disposiciones de la Ley de Hacienda para el Estado de</t>
        </is>
      </c>
      <c r="H440" t="n">
        <v>7</v>
      </c>
      <c r="I440" t="inlineStr">
        <is>
          <t>Impuestos, Finanzas Públicas, Patrimonio estatal y municipal</t>
        </is>
      </c>
      <c r="J440" t="n">
        <v>34</v>
      </c>
      <c r="K440" t="n">
        <v>0</v>
      </c>
      <c r="L440" t="n">
        <v>0</v>
      </c>
      <c r="M440" t="n">
        <v>0</v>
      </c>
      <c r="N440">
        <f>SUM(J440:M440)</f>
        <v/>
      </c>
      <c r="O440" s="4">
        <f>SUM(J440:L440)/SUM(J440:M440)</f>
        <v/>
      </c>
      <c r="P440" s="5">
        <f>MAX(J440:L440)/SUM(J440:L440)</f>
        <v/>
      </c>
    </row>
    <row r="441">
      <c r="A441" t="inlineStr">
        <is>
          <t>Segundo año</t>
        </is>
      </c>
      <c r="B441" t="inlineStr">
        <is>
          <t>Segundo periodo</t>
        </is>
      </c>
      <c r="C441" t="n">
        <v>4</v>
      </c>
      <c r="D441" t="n">
        <v>439</v>
      </c>
      <c r="E441" s="3" t="n">
        <v>46051</v>
      </c>
      <c r="F441" t="inlineStr">
        <is>
          <t>Iniciativa</t>
        </is>
      </c>
      <c r="G441" t="inlineStr">
        <is>
          <t>Dictamen con minuta de decreto por el cual se declara el veinticuatro de diciembre de cada año como el “Día Estatal del Mezcal Poblano”</t>
        </is>
      </c>
      <c r="H441" t="n">
        <v>8</v>
      </c>
      <c r="I441" t="inlineStr">
        <is>
          <t>Educación y Cultura</t>
        </is>
      </c>
      <c r="J441" t="n">
        <v>35</v>
      </c>
      <c r="K441" t="n">
        <v>0</v>
      </c>
      <c r="L441" t="n">
        <v>0</v>
      </c>
      <c r="M441" t="n">
        <v>0</v>
      </c>
      <c r="N441">
        <f>SUM(J441:M441)</f>
        <v/>
      </c>
      <c r="O441" s="4">
        <f>SUM(J441:L441)/SUM(J441:M441)</f>
        <v/>
      </c>
      <c r="P441" s="5">
        <f>MAX(J441:L441)/SUM(J441:L441)</f>
        <v/>
      </c>
    </row>
    <row r="442">
      <c r="A442" t="inlineStr">
        <is>
          <t>Segundo año</t>
        </is>
      </c>
      <c r="B442" t="inlineStr">
        <is>
          <t>Segundo periodo</t>
        </is>
      </c>
      <c r="C442" t="n">
        <v>5</v>
      </c>
      <c r="D442" t="n">
        <v>440</v>
      </c>
      <c r="E442" s="3" t="n">
        <v>46051</v>
      </c>
      <c r="F442" t="inlineStr">
        <is>
          <t>Iniciativa</t>
        </is>
      </c>
      <c r="G442" t="inlineStr">
        <is>
          <t>Dictamen con minuta de decreto por el cual se declara “Heroica Ciudad de Pahuatlán”</t>
        </is>
      </c>
      <c r="H442" t="n">
        <v>8</v>
      </c>
      <c r="I442" t="inlineStr">
        <is>
          <t>Educación y Cultura</t>
        </is>
      </c>
      <c r="J442" t="n">
        <v>36</v>
      </c>
      <c r="K442" t="n">
        <v>0</v>
      </c>
      <c r="L442" t="n">
        <v>0</v>
      </c>
      <c r="M442" t="n">
        <v>0</v>
      </c>
      <c r="N442">
        <f>SUM(J442:M442)</f>
        <v/>
      </c>
      <c r="O442" s="4">
        <f>SUM(J442:L442)/SUM(J442:M442)</f>
        <v/>
      </c>
      <c r="P442" s="5">
        <f>MAX(J442:L442)/SUM(J442:L442)</f>
        <v/>
      </c>
    </row>
    <row r="443">
      <c r="A443" t="inlineStr">
        <is>
          <t>Segundo año</t>
        </is>
      </c>
      <c r="B443" t="inlineStr">
        <is>
          <t>Segundo periodo</t>
        </is>
      </c>
      <c r="C443" t="n">
        <v>6</v>
      </c>
      <c r="D443" t="n">
        <v>441</v>
      </c>
      <c r="E443" s="3" t="n">
        <v>46051</v>
      </c>
      <c r="F443" t="inlineStr">
        <is>
          <t>Punto de Acuerdo</t>
        </is>
      </c>
      <c r="G443" t="inlineStr">
        <is>
          <t>Acuerdo por el que se exhorta a los diecinueve municipios que integran la zona metropolitana del estado</t>
        </is>
      </c>
      <c r="H443" t="n">
        <v>11</v>
      </c>
      <c r="I443" t="inlineStr">
        <is>
          <t>Infraestructura, Movilidad y Transporte</t>
        </is>
      </c>
      <c r="J443" t="n">
        <v>36</v>
      </c>
      <c r="K443" t="n">
        <v>0</v>
      </c>
      <c r="L443" t="n">
        <v>0</v>
      </c>
      <c r="M443" t="n">
        <v>0</v>
      </c>
      <c r="N443">
        <f>SUM(J443:M443)</f>
        <v/>
      </c>
      <c r="O443" s="4">
        <f>SUM(J443:L443)/SUM(J443:M443)</f>
        <v/>
      </c>
      <c r="P443" s="5">
        <f>MAX(J443:L443)/SUM(J443:L443)</f>
        <v/>
      </c>
    </row>
    <row r="444">
      <c r="A444" t="inlineStr">
        <is>
          <t>Segundo año</t>
        </is>
      </c>
      <c r="B444" t="inlineStr">
        <is>
          <t>Segundo periodo</t>
        </is>
      </c>
      <c r="C444" t="n">
        <v>7</v>
      </c>
      <c r="D444" t="n">
        <v>442</v>
      </c>
      <c r="E444" s="3" t="n">
        <v>46051</v>
      </c>
      <c r="F444" t="inlineStr">
        <is>
          <t>Punto de Acuerdo</t>
        </is>
      </c>
      <c r="G444" t="inlineStr">
        <is>
          <t>Acuerdo por el que se exhorta a la administración local del servicio de administración tributaria en</t>
        </is>
      </c>
      <c r="H444" t="n">
        <v>7</v>
      </c>
      <c r="I444" t="inlineStr">
        <is>
          <t>Impuestos, Finanzas Públicas, Patrimonio estatal y municipal</t>
        </is>
      </c>
      <c r="J444" t="n">
        <v>37</v>
      </c>
      <c r="K444" t="n">
        <v>0</v>
      </c>
      <c r="L444" t="n">
        <v>0</v>
      </c>
      <c r="M444" t="n">
        <v>0</v>
      </c>
      <c r="N444">
        <f>SUM(J444:M444)</f>
        <v/>
      </c>
      <c r="O444" s="4">
        <f>SUM(J444:L444)/SUM(J444:M444)</f>
        <v/>
      </c>
      <c r="P444" s="5">
        <f>MAX(J444:L444)/SUM(J444:L444)</f>
        <v/>
      </c>
    </row>
    <row r="445">
      <c r="A445" t="inlineStr">
        <is>
          <t>Segundo año</t>
        </is>
      </c>
      <c r="B445" t="inlineStr">
        <is>
          <t>Segundo periodo</t>
        </is>
      </c>
      <c r="C445" t="n">
        <v>8</v>
      </c>
      <c r="D445" t="n">
        <v>443</v>
      </c>
      <c r="E445" s="3" t="n">
        <v>46051</v>
      </c>
      <c r="F445" t="inlineStr">
        <is>
          <t>Punto de Acuerdo</t>
        </is>
      </c>
      <c r="G445" t="inlineStr">
        <is>
          <t>Acuerdo por el que se exhorta a la coordinación general de protección civil y gestión del riesgo de desastres del estado</t>
        </is>
      </c>
      <c r="H445" t="n">
        <v>3</v>
      </c>
      <c r="I445" t="inlineStr">
        <is>
          <t>Seguridad Pública, Protección Civil y Narcotráfico</t>
        </is>
      </c>
      <c r="J445" t="n">
        <v>37</v>
      </c>
      <c r="K445" t="n">
        <v>0</v>
      </c>
      <c r="L445" t="n">
        <v>0</v>
      </c>
      <c r="M445" t="n">
        <v>0</v>
      </c>
      <c r="N445">
        <f>SUM(J445:M445)</f>
        <v/>
      </c>
      <c r="O445" s="4">
        <f>SUM(J445:L445)/SUM(J445:M445)</f>
        <v/>
      </c>
      <c r="P445" s="5">
        <f>MAX(J445:L445)/SUM(J445:L445)</f>
        <v/>
      </c>
    </row>
    <row r="446">
      <c r="A446" t="inlineStr">
        <is>
          <t>Segundo año</t>
        </is>
      </c>
      <c r="B446" t="inlineStr">
        <is>
          <t>Segundo periodo</t>
        </is>
      </c>
      <c r="C446" t="n">
        <v>9</v>
      </c>
      <c r="D446" t="n">
        <v>444</v>
      </c>
      <c r="E446" s="3" t="n">
        <v>46058</v>
      </c>
      <c r="F446" t="inlineStr">
        <is>
          <t>Iniciativa</t>
        </is>
      </c>
      <c r="G446" t="inlineStr">
        <is>
          <t>Dictamen con minuta de decreto por el cual se reforman las fracciones IX y X, y se adiciona la fracción XI al artículo 49 de la ley de los derechos de las niñas, niños y adolescentes del estado de</t>
        </is>
      </c>
      <c r="H446" t="n">
        <v>11</v>
      </c>
      <c r="I446" t="inlineStr">
        <is>
          <t>Infraestructura, Movilidad y Transporte</t>
        </is>
      </c>
      <c r="J446" t="n">
        <v>40</v>
      </c>
      <c r="K446" t="n">
        <v>0</v>
      </c>
      <c r="L446" t="n">
        <v>0</v>
      </c>
      <c r="M446" t="n">
        <v>1</v>
      </c>
      <c r="N446">
        <f>SUM(J446:M446)</f>
        <v/>
      </c>
      <c r="O446" s="4">
        <f>SUM(J446:L446)/SUM(J446:M446)</f>
        <v/>
      </c>
      <c r="P446" s="5">
        <f>MAX(J446:L446)/SUM(J446:L446)</f>
        <v/>
      </c>
    </row>
    <row r="447">
      <c r="A447" t="inlineStr">
        <is>
          <t>Segundo año</t>
        </is>
      </c>
      <c r="B447" t="inlineStr">
        <is>
          <t>Segundo periodo</t>
        </is>
      </c>
      <c r="C447" t="n">
        <v>10</v>
      </c>
      <c r="D447" t="n">
        <v>445</v>
      </c>
      <c r="E447" s="3" t="n">
        <v>46058</v>
      </c>
      <c r="F447" t="inlineStr">
        <is>
          <t>Punto de Acuerdo</t>
        </is>
      </c>
      <c r="G447" t="inlineStr">
        <is>
          <t>Acuerdo por el que se exhorta al sistema para el desarrollo integral de la familia del estado de</t>
        </is>
      </c>
      <c r="H447" t="n">
        <v>2</v>
      </c>
      <c r="I447" t="inlineStr">
        <is>
          <t>Pobreza y Política Social</t>
        </is>
      </c>
      <c r="J447" t="n">
        <v>40</v>
      </c>
      <c r="K447" t="n">
        <v>0</v>
      </c>
      <c r="L447" t="n">
        <v>0</v>
      </c>
      <c r="M447" t="n">
        <v>1</v>
      </c>
      <c r="N447">
        <f>SUM(J447:M447)</f>
        <v/>
      </c>
      <c r="O447" s="4">
        <f>SUM(J447:L447)/SUM(J447:M447)</f>
        <v/>
      </c>
      <c r="P447" s="5">
        <f>MAX(J447:L447)/SUM(J447:L447)</f>
        <v/>
      </c>
    </row>
    <row r="448">
      <c r="A448" t="inlineStr">
        <is>
          <t>Segundo año</t>
        </is>
      </c>
      <c r="B448" t="inlineStr">
        <is>
          <t>Segundo periodo</t>
        </is>
      </c>
      <c r="C448" t="n">
        <v>11</v>
      </c>
      <c r="D448" t="n">
        <v>446</v>
      </c>
      <c r="E448" s="3" t="n">
        <v>46058</v>
      </c>
      <c r="F448" t="inlineStr">
        <is>
          <t>Punto de Acuerdo</t>
        </is>
      </c>
      <c r="G448" t="inlineStr">
        <is>
          <t>Acuerdo por el que se exhorta a la secretaría de medio ambiente, desarrollo sustentable y ordenamiento territorial</t>
        </is>
      </c>
      <c r="H448" t="n">
        <v>5</v>
      </c>
      <c r="I448" t="inlineStr">
        <is>
          <t>Medio Ambiente</t>
        </is>
      </c>
      <c r="J448" t="n">
        <v>40</v>
      </c>
      <c r="K448" t="n">
        <v>0</v>
      </c>
      <c r="L448" t="n">
        <v>0</v>
      </c>
      <c r="M448" t="n">
        <v>1</v>
      </c>
      <c r="N448">
        <f>SUM(J448:M448)</f>
        <v/>
      </c>
      <c r="O448" s="4">
        <f>SUM(J448:L448)/SUM(J448:M448)</f>
        <v/>
      </c>
      <c r="P448" s="5">
        <f>MAX(J448:L448)/SUM(J448:L448)</f>
        <v/>
      </c>
    </row>
    <row r="449">
      <c r="A449" t="inlineStr">
        <is>
          <t>Segundo año</t>
        </is>
      </c>
      <c r="B449" t="inlineStr">
        <is>
          <t>Segundo periodo</t>
        </is>
      </c>
      <c r="C449" t="n">
        <v>12</v>
      </c>
      <c r="D449" t="n">
        <v>447</v>
      </c>
      <c r="E449" s="3" t="n">
        <v>46058</v>
      </c>
      <c r="F449" t="inlineStr">
        <is>
          <t>Punto de Acuerdo</t>
        </is>
      </c>
      <c r="G449" t="inlineStr">
        <is>
          <t>Acuerdo por el que se exhorta a los doscientos doce ayuntamientos y a los cinco concejos municipales del estado</t>
        </is>
      </c>
      <c r="H449" t="n">
        <v>11</v>
      </c>
      <c r="I449" t="inlineStr">
        <is>
          <t>Infraestructura, Movilidad y Transporte</t>
        </is>
      </c>
      <c r="J449" t="n">
        <v>40</v>
      </c>
      <c r="K449" t="n">
        <v>0</v>
      </c>
      <c r="L449" t="n">
        <v>0</v>
      </c>
      <c r="M449" t="n">
        <v>1</v>
      </c>
      <c r="N449">
        <f>SUM(J449:M449)</f>
        <v/>
      </c>
      <c r="O449" s="4">
        <f>SUM(J449:L449)/SUM(J449:M449)</f>
        <v/>
      </c>
      <c r="P449" s="5">
        <f>MAX(J449:L449)/SUM(J449:L449)</f>
        <v/>
      </c>
    </row>
    <row r="450">
      <c r="A450" t="inlineStr">
        <is>
          <t>Segundo año</t>
        </is>
      </c>
      <c r="B450" t="inlineStr">
        <is>
          <t>Segundo periodo</t>
        </is>
      </c>
      <c r="C450" t="n">
        <v>13</v>
      </c>
      <c r="D450" t="n">
        <v>448</v>
      </c>
      <c r="E450" s="3" t="n">
        <v>46058</v>
      </c>
      <c r="F450" t="inlineStr">
        <is>
          <t>Punto de Acuerdo</t>
        </is>
      </c>
      <c r="G450" t="inlineStr">
        <is>
          <t>Acuerdo por el que se exhorta al director general del sistema estatal para el desarrollo integral de la familia</t>
        </is>
      </c>
      <c r="H450" t="n">
        <v>2</v>
      </c>
      <c r="I450" t="inlineStr">
        <is>
          <t>Pobreza y Política Social</t>
        </is>
      </c>
      <c r="J450" t="n">
        <v>40</v>
      </c>
      <c r="K450" t="n">
        <v>0</v>
      </c>
      <c r="L450" t="n">
        <v>0</v>
      </c>
      <c r="M450" t="n">
        <v>1</v>
      </c>
      <c r="N450">
        <f>SUM(J450:M450)</f>
        <v/>
      </c>
      <c r="O450" s="4">
        <f>SUM(J450:L450)/SUM(J450:M450)</f>
        <v/>
      </c>
      <c r="P450" s="5">
        <f>MAX(J450:L450)/SUM(J450:L450)</f>
        <v/>
      </c>
    </row>
    <row r="451">
      <c r="A451" t="inlineStr">
        <is>
          <t>Segundo año</t>
        </is>
      </c>
      <c r="B451" t="inlineStr">
        <is>
          <t>Segundo periodo</t>
        </is>
      </c>
      <c r="C451" t="n">
        <v>14</v>
      </c>
      <c r="D451" t="n">
        <v>449</v>
      </c>
      <c r="E451" s="3" t="n">
        <v>46058</v>
      </c>
      <c r="F451" t="inlineStr">
        <is>
          <t>Punto de Acuerdo</t>
        </is>
      </c>
      <c r="G451" t="inlineStr">
        <is>
          <t>Acuerdo por el que se exhorta a los doscientos doce ayuntamientos y cinco concejos municipales del estado</t>
        </is>
      </c>
      <c r="H451" t="n">
        <v>20</v>
      </c>
      <c r="I451" t="inlineStr">
        <is>
          <t>Justicia y Estado de Derecho en temas de Mujeres</t>
        </is>
      </c>
      <c r="J451" t="n">
        <v>40</v>
      </c>
      <c r="K451" t="n">
        <v>0</v>
      </c>
      <c r="L451" t="n">
        <v>0</v>
      </c>
      <c r="M451" t="n">
        <v>1</v>
      </c>
      <c r="N451">
        <f>SUM(J451:M451)</f>
        <v/>
      </c>
      <c r="O451" s="4">
        <f>SUM(J451:L451)/SUM(J451:M451)</f>
        <v/>
      </c>
      <c r="P451" s="5">
        <f>MAX(J451:L451)/SUM(J451:L451)</f>
        <v/>
      </c>
    </row>
    <row r="452">
      <c r="A452" t="inlineStr">
        <is>
          <t>Segundo año</t>
        </is>
      </c>
      <c r="B452" t="inlineStr">
        <is>
          <t>Segundo periodo</t>
        </is>
      </c>
      <c r="C452" t="n">
        <v>15</v>
      </c>
      <c r="D452" t="n">
        <v>450</v>
      </c>
      <c r="E452" s="3" t="n">
        <v>46058</v>
      </c>
      <c r="F452" t="inlineStr">
        <is>
          <t>Punto de Acuerdo</t>
        </is>
      </c>
      <c r="G452" t="inlineStr">
        <is>
          <t>Acuerdo por el que se exhorta a los doscientos doce ayuntamientos y cinco concejos municipales del estado</t>
        </is>
      </c>
      <c r="H452" t="n">
        <v>10</v>
      </c>
      <c r="I452" t="inlineStr">
        <is>
          <t>Transparencia y Rendición de Cuentas</t>
        </is>
      </c>
      <c r="J452" t="n">
        <v>41</v>
      </c>
      <c r="K452" t="n">
        <v>0</v>
      </c>
      <c r="L452" t="n">
        <v>0</v>
      </c>
      <c r="M452" t="n">
        <v>0</v>
      </c>
      <c r="N452">
        <f>SUM(J452:M452)</f>
        <v/>
      </c>
      <c r="O452" s="4">
        <f>SUM(J452:L452)/SUM(J452:M452)</f>
        <v/>
      </c>
      <c r="P452" s="5">
        <f>MAX(J452:L452)/SUM(J452:L452)</f>
        <v/>
      </c>
    </row>
    <row r="453">
      <c r="A453" t="inlineStr">
        <is>
          <t>Segundo año</t>
        </is>
      </c>
      <c r="B453" t="inlineStr">
        <is>
          <t>Segundo periodo</t>
        </is>
      </c>
      <c r="C453" t="n">
        <v>16</v>
      </c>
      <c r="D453" t="n">
        <v>451</v>
      </c>
      <c r="E453" s="3" t="n">
        <v>46058</v>
      </c>
      <c r="F453" t="inlineStr">
        <is>
          <t>Punto de Acuerdo</t>
        </is>
      </c>
      <c r="G453" t="inlineStr">
        <is>
          <t>Acuerdo por el que se exhorta a los doscientos doce ayuntamientos y los cinco concejos municipales del estado</t>
        </is>
      </c>
      <c r="H453" t="n">
        <v>11</v>
      </c>
      <c r="I453" t="inlineStr">
        <is>
          <t>Infraestructura, Movilidad y Transporte</t>
        </is>
      </c>
      <c r="J453" t="n">
        <v>41</v>
      </c>
      <c r="K453" t="n">
        <v>0</v>
      </c>
      <c r="L453" t="n">
        <v>0</v>
      </c>
      <c r="M453" t="n">
        <v>0</v>
      </c>
      <c r="N453">
        <f>SUM(J453:M453)</f>
        <v/>
      </c>
      <c r="O453" s="4">
        <f>SUM(J453:L453)/SUM(J453:M453)</f>
        <v/>
      </c>
      <c r="P453" s="5">
        <f>MAX(J453:L453)/SUM(J453:L453)</f>
        <v/>
      </c>
    </row>
    <row r="454">
      <c r="A454" t="inlineStr">
        <is>
          <t>Segundo año</t>
        </is>
      </c>
      <c r="B454" t="inlineStr">
        <is>
          <t>Segundo periodo</t>
        </is>
      </c>
      <c r="C454" t="n">
        <v>17</v>
      </c>
      <c r="D454" t="n">
        <v>452</v>
      </c>
      <c r="E454" s="3" t="n">
        <v>46058</v>
      </c>
      <c r="F454" t="inlineStr">
        <is>
          <t>Punto de Acuerdo</t>
        </is>
      </c>
      <c r="G454" t="inlineStr">
        <is>
          <t>Acuerdo por el que se exhorta a los doscientos doce ayuntamientos y cinco concejos municipales del estado</t>
        </is>
      </c>
      <c r="H454" t="n">
        <v>11</v>
      </c>
      <c r="I454" t="inlineStr">
        <is>
          <t>Infraestructura, Movilidad y Transporte</t>
        </is>
      </c>
      <c r="J454" t="n">
        <v>41</v>
      </c>
      <c r="K454" t="n">
        <v>0</v>
      </c>
      <c r="L454" t="n">
        <v>0</v>
      </c>
      <c r="M454" t="n">
        <v>0</v>
      </c>
      <c r="N454">
        <f>SUM(J454:M454)</f>
        <v/>
      </c>
      <c r="O454" s="4">
        <f>SUM(J454:L454)/SUM(J454:M454)</f>
        <v/>
      </c>
      <c r="P454" s="5">
        <f>MAX(J454:L454)/SUM(J454:L454)</f>
        <v/>
      </c>
    </row>
    <row r="455">
      <c r="A455" t="inlineStr">
        <is>
          <t>Segundo año</t>
        </is>
      </c>
      <c r="B455" t="inlineStr">
        <is>
          <t>Segundo periodo</t>
        </is>
      </c>
      <c r="C455" t="n">
        <v>18</v>
      </c>
      <c r="D455" t="n">
        <v>453</v>
      </c>
      <c r="E455" s="3" t="n">
        <v>46058</v>
      </c>
      <c r="F455" t="inlineStr">
        <is>
          <t>Punto de Acuerdo</t>
        </is>
      </c>
      <c r="G455" t="inlineStr">
        <is>
          <t>Acuerdo por el que se exhorta a la comisión nacional de derechos humanos y al instituto nacional de las personas adultas mayores</t>
        </is>
      </c>
      <c r="H455" t="n">
        <v>2</v>
      </c>
      <c r="I455" t="inlineStr">
        <is>
          <t>Pobreza y Política Social</t>
        </is>
      </c>
      <c r="J455" t="n">
        <v>41</v>
      </c>
      <c r="K455" t="n">
        <v>0</v>
      </c>
      <c r="L455" t="n">
        <v>0</v>
      </c>
      <c r="M455" t="n">
        <v>0</v>
      </c>
      <c r="N455">
        <f>SUM(J455:M455)</f>
        <v/>
      </c>
      <c r="O455" s="4">
        <f>SUM(J455:L455)/SUM(J455:M455)</f>
        <v/>
      </c>
      <c r="P455" s="5">
        <f>MAX(J455:L455)/SUM(J455:L455)</f>
        <v/>
      </c>
    </row>
    <row r="456">
      <c r="A456" t="inlineStr">
        <is>
          <t>Segundo año</t>
        </is>
      </c>
      <c r="B456" t="inlineStr">
        <is>
          <t>Segundo periodo</t>
        </is>
      </c>
      <c r="C456" t="n">
        <v>19</v>
      </c>
      <c r="D456" t="n">
        <v>454</v>
      </c>
      <c r="E456" s="3" t="n">
        <v>46058</v>
      </c>
      <c r="F456" t="inlineStr">
        <is>
          <t>Punto de Acuerdo</t>
        </is>
      </c>
      <c r="G456" t="inlineStr">
        <is>
          <t>Acuerdo por el que se exhorta al instituto poblano de atención al migrante</t>
        </is>
      </c>
      <c r="H456" t="n">
        <v>9</v>
      </c>
      <c r="I456" t="inlineStr">
        <is>
          <t>Migración y fronteras</t>
        </is>
      </c>
      <c r="J456" t="n">
        <v>41</v>
      </c>
      <c r="K456" t="n">
        <v>0</v>
      </c>
      <c r="L456" t="n">
        <v>0</v>
      </c>
      <c r="M456" t="n">
        <v>0</v>
      </c>
      <c r="N456">
        <f>SUM(J456:M456)</f>
        <v/>
      </c>
      <c r="O456" s="4">
        <f>SUM(J456:L456)/SUM(J456:M456)</f>
        <v/>
      </c>
      <c r="P456" s="5">
        <f>MAX(J456:L456)/SUM(J456:L456)</f>
        <v/>
      </c>
    </row>
    <row r="457">
      <c r="A457" t="inlineStr">
        <is>
          <t>Segundo año</t>
        </is>
      </c>
      <c r="B457" t="inlineStr">
        <is>
          <t>Segundo periodo</t>
        </is>
      </c>
      <c r="C457" t="n">
        <v>20</v>
      </c>
      <c r="D457" t="n">
        <v>455</v>
      </c>
      <c r="E457" s="3" t="n">
        <v>46058</v>
      </c>
      <c r="F457" t="inlineStr">
        <is>
          <t>Punto de Acuerdo</t>
        </is>
      </c>
      <c r="G457" t="inlineStr">
        <is>
          <t>Acuerdo por el que se exhorta a la fiscalía general del estado</t>
        </is>
      </c>
      <c r="H457" t="n">
        <v>20</v>
      </c>
      <c r="I457" t="inlineStr">
        <is>
          <t>Justicia y Estado de Derecho en temas de Mujeres</t>
        </is>
      </c>
      <c r="J457" t="n">
        <v>41</v>
      </c>
      <c r="K457" t="n">
        <v>0</v>
      </c>
      <c r="L457" t="n">
        <v>0</v>
      </c>
      <c r="M457" t="n">
        <v>0</v>
      </c>
      <c r="N457">
        <f>SUM(J457:M457)</f>
        <v/>
      </c>
      <c r="O457" s="4">
        <f>SUM(J457:L457)/SUM(J457:M457)</f>
        <v/>
      </c>
      <c r="P457" s="5">
        <f>MAX(J457:L457)/SUM(J457:L457)</f>
        <v/>
      </c>
    </row>
    <row r="458">
      <c r="A458" t="inlineStr">
        <is>
          <t>Segundo año</t>
        </is>
      </c>
      <c r="B458" t="inlineStr">
        <is>
          <t>Segundo periodo</t>
        </is>
      </c>
      <c r="C458" t="n">
        <v>21</v>
      </c>
      <c r="D458" t="n">
        <v>456</v>
      </c>
      <c r="E458" s="3" t="n">
        <v>46058</v>
      </c>
      <c r="F458" t="inlineStr">
        <is>
          <t>Punto de Acuerdo</t>
        </is>
      </c>
      <c r="G458" t="inlineStr">
        <is>
          <t>Acuerdo por el que se exhorta al honorable tribunal superior de justicia del estado</t>
        </is>
      </c>
      <c r="H458" t="n">
        <v>20</v>
      </c>
      <c r="I458" t="inlineStr">
        <is>
          <t>Justicia y Estado de Derecho en temas de Mujeres</t>
        </is>
      </c>
      <c r="J458" t="n">
        <v>41</v>
      </c>
      <c r="K458" t="n">
        <v>0</v>
      </c>
      <c r="L458" t="n">
        <v>0</v>
      </c>
      <c r="M458" t="n">
        <v>0</v>
      </c>
      <c r="N458">
        <f>SUM(J458:M458)</f>
        <v/>
      </c>
      <c r="O458" s="4">
        <f>SUM(J458:L458)/SUM(J458:M458)</f>
        <v/>
      </c>
      <c r="P458" s="5">
        <f>MAX(J458:L458)/SUM(J458:L458)</f>
        <v/>
      </c>
    </row>
    <row r="459">
      <c r="A459" t="inlineStr">
        <is>
          <t>Segundo año</t>
        </is>
      </c>
      <c r="B459" t="inlineStr">
        <is>
          <t>Segundo periodo</t>
        </is>
      </c>
      <c r="C459" t="n">
        <v>22</v>
      </c>
      <c r="D459" t="n">
        <v>457</v>
      </c>
      <c r="E459" s="3" t="n">
        <v>46065</v>
      </c>
      <c r="F459" t="inlineStr">
        <is>
          <t>Iniciativa</t>
        </is>
      </c>
      <c r="G459" t="inlineStr">
        <is>
          <t>Dictamen con minuta de decreto por el cual se autoriza al honorable ayuntamiento del municipio de, la enajenación bajo la figura de donación a título gratuito de una superficie de 3,209.56 metros cuadrados a favor del organismo público descentralizado de la administración pública municipal denominado “sistema municipal dif”, para el proyecto de construcción del “centro de educación especial” impulsado por el sistema municipal dif con apoyo de la fundación nissan</t>
        </is>
      </c>
      <c r="H459" t="n">
        <v>7</v>
      </c>
      <c r="I459" t="inlineStr">
        <is>
          <t>Impuestos, Finanzas Públicas, Patrimonio estatal y municipal</t>
        </is>
      </c>
      <c r="J459" t="n">
        <v>34</v>
      </c>
      <c r="K459" t="n">
        <v>0</v>
      </c>
      <c r="L459" t="n">
        <v>0</v>
      </c>
      <c r="M459" t="n">
        <v>7</v>
      </c>
      <c r="N459">
        <f>SUM(J459:M459)</f>
        <v/>
      </c>
      <c r="O459" s="4">
        <f>SUM(J459:L459)/SUM(J459:M459)</f>
        <v/>
      </c>
      <c r="P459" s="5">
        <f>MAX(J459:L459)/SUM(J459:L459)</f>
        <v/>
      </c>
    </row>
    <row r="460">
      <c r="A460" t="inlineStr">
        <is>
          <t>Segundo año</t>
        </is>
      </c>
      <c r="B460" t="inlineStr">
        <is>
          <t>Segundo periodo</t>
        </is>
      </c>
      <c r="C460" t="n">
        <v>23</v>
      </c>
      <c r="D460" t="n">
        <v>458</v>
      </c>
      <c r="E460" s="3" t="n">
        <v>46072</v>
      </c>
      <c r="F460" t="inlineStr">
        <is>
          <t>Iniciativa</t>
        </is>
      </c>
      <c r="G460" t="inlineStr">
        <is>
          <t>Dictamen con minuta de decreto por el cual se reforma el decreto del honorable congreso del estado por el que se declara “heroico municipio de xochiapulco”</t>
        </is>
      </c>
      <c r="H460" t="n">
        <v>18</v>
      </c>
      <c r="I460" t="inlineStr">
        <is>
          <t>Administración Pública</t>
        </is>
      </c>
      <c r="J460" t="n">
        <v>36</v>
      </c>
      <c r="K460" t="n">
        <v>0</v>
      </c>
      <c r="L460" t="n">
        <v>0</v>
      </c>
      <c r="M460" t="n">
        <v>5</v>
      </c>
      <c r="N460">
        <f>SUM(J460:M460)</f>
        <v/>
      </c>
      <c r="O460" s="4">
        <f>SUM(J460:L460)/SUM(J460:M460)</f>
        <v/>
      </c>
      <c r="P460" s="5">
        <f>MAX(J460:L460)/SUM(J460:L460)</f>
        <v/>
      </c>
    </row>
    <row r="461">
      <c r="A461" t="inlineStr">
        <is>
          <t>Segundo año</t>
        </is>
      </c>
      <c r="B461" t="inlineStr">
        <is>
          <t>Segundo periodo</t>
        </is>
      </c>
      <c r="C461" t="n">
        <v>24</v>
      </c>
      <c r="D461" t="n">
        <v>459</v>
      </c>
      <c r="E461" s="3" t="n">
        <v>46072</v>
      </c>
      <c r="F461" t="inlineStr">
        <is>
          <t>Iniciativa</t>
        </is>
      </c>
      <c r="G461" t="inlineStr">
        <is>
          <t>Dictamen con minuta de decreto por el cual se declara “heroica ciudad de libres”</t>
        </is>
      </c>
      <c r="H461" t="n">
        <v>18</v>
      </c>
      <c r="I461" t="inlineStr">
        <is>
          <t>Administración Pública</t>
        </is>
      </c>
      <c r="J461" t="n">
        <v>36</v>
      </c>
      <c r="K461" t="n">
        <v>0</v>
      </c>
      <c r="L461" t="n">
        <v>0</v>
      </c>
      <c r="M461" t="n">
        <v>5</v>
      </c>
      <c r="N461">
        <f>SUM(J461:M461)</f>
        <v/>
      </c>
      <c r="O461" s="4">
        <f>SUM(J461:L461)/SUM(J461:M461)</f>
        <v/>
      </c>
      <c r="P461" s="5">
        <f>MAX(J461:L461)/SUM(J461:L461)</f>
        <v/>
      </c>
    </row>
    <row r="462">
      <c r="A462" t="inlineStr">
        <is>
          <t>Segundo año</t>
        </is>
      </c>
      <c r="B462" t="inlineStr">
        <is>
          <t>Segundo periodo</t>
        </is>
      </c>
      <c r="C462" t="n">
        <v>25</v>
      </c>
      <c r="D462" t="n">
        <v>460</v>
      </c>
      <c r="E462" s="3" t="n">
        <v>46072</v>
      </c>
      <c r="F462" t="inlineStr">
        <is>
          <t>Punto de Acuerdo</t>
        </is>
      </c>
      <c r="G462" t="inlineStr">
        <is>
          <t>Acuerdo por el que se exhorta a la secretaría de desarrollo económico y trabajo; y a la secretaría de las mujeres, ambas del estado, para que, de manera coordinada y en el ámbito de su respectiva competencia, fomenten la instalación y difusión permanente del material gráfico conocido como “violentómetro” en las unidades económicas de la iniciativa privada</t>
        </is>
      </c>
      <c r="H462" t="n">
        <v>20</v>
      </c>
      <c r="I462" t="inlineStr">
        <is>
          <t>Justicia y Estado de Derecho en temas de Mujeres</t>
        </is>
      </c>
      <c r="J462" t="n">
        <v>36</v>
      </c>
      <c r="K462" t="n">
        <v>0</v>
      </c>
      <c r="L462" t="n">
        <v>0</v>
      </c>
      <c r="M462" t="n">
        <v>5</v>
      </c>
      <c r="N462">
        <f>SUM(J462:M462)</f>
        <v/>
      </c>
      <c r="O462" s="4">
        <f>SUM(J462:L462)/SUM(J462:M462)</f>
        <v/>
      </c>
      <c r="P462" s="5">
        <f>MAX(J462:L462)/SUM(J462:L462)</f>
        <v/>
      </c>
    </row>
    <row r="463">
      <c r="A463" t="inlineStr">
        <is>
          <t>Segundo año</t>
        </is>
      </c>
      <c r="B463" t="inlineStr">
        <is>
          <t>Segundo periodo</t>
        </is>
      </c>
      <c r="C463" t="n">
        <v>26</v>
      </c>
      <c r="D463" t="n">
        <v>461</v>
      </c>
      <c r="E463" s="3" t="n">
        <v>46072</v>
      </c>
      <c r="F463" t="inlineStr">
        <is>
          <t>Punto de Acuerdo</t>
        </is>
      </c>
      <c r="G463" t="inlineStr">
        <is>
          <t>Acuerdo por el que se exhorta a la secretaría de desarrollo económico y trabajo del estado, para que implemente y difunda políticas públicas orientadas a la creación y conservación de empleos dignos y bien remunerados para las personas mayores de cuarenta años</t>
        </is>
      </c>
      <c r="H463" t="n">
        <v>16</v>
      </c>
      <c r="I463" t="inlineStr">
        <is>
          <t>Trabajo y Previsión Social</t>
        </is>
      </c>
      <c r="J463" t="n">
        <v>36</v>
      </c>
      <c r="K463" t="n">
        <v>0</v>
      </c>
      <c r="L463" t="n">
        <v>0</v>
      </c>
      <c r="M463" t="n">
        <v>5</v>
      </c>
      <c r="N463">
        <f>SUM(J463:M463)</f>
        <v/>
      </c>
      <c r="O463" s="4">
        <f>SUM(J463:L463)/SUM(J463:M463)</f>
        <v/>
      </c>
      <c r="P463" s="5">
        <f>MAX(J463:L463)/SUM(J463:L463)</f>
        <v/>
      </c>
    </row>
    <row r="464">
      <c r="A464" t="inlineStr">
        <is>
          <t>Segundo año</t>
        </is>
      </c>
      <c r="B464" t="inlineStr">
        <is>
          <t>Segundo periodo</t>
        </is>
      </c>
      <c r="C464" t="n">
        <v>27</v>
      </c>
      <c r="D464" t="n">
        <v>462</v>
      </c>
      <c r="E464" s="3" t="n">
        <v>46072</v>
      </c>
      <c r="F464" t="inlineStr">
        <is>
          <t>Punto de Acuerdo</t>
        </is>
      </c>
      <c r="G464" t="inlineStr">
        <is>
          <t>Acuerdo por el que se exhorta a la secretaría de medio ambiente, desarrollo sustentable y ordenamiento territorial del estado para que, en coordinación con los doscientos doce ayuntamientos y cinco concejos municipales del estado, implemente o, en su caso, fortalezca un programa de reforestación estatal</t>
        </is>
      </c>
      <c r="H464" t="n">
        <v>5</v>
      </c>
      <c r="I464" t="inlineStr">
        <is>
          <t>Medio Ambiente</t>
        </is>
      </c>
      <c r="J464" t="n">
        <v>38</v>
      </c>
      <c r="K464" t="n">
        <v>0</v>
      </c>
      <c r="L464" t="n">
        <v>0</v>
      </c>
      <c r="M464" t="n">
        <v>3</v>
      </c>
      <c r="N464">
        <f>SUM(J464:M464)</f>
        <v/>
      </c>
      <c r="O464" s="4">
        <f>SUM(J464:L464)/SUM(J464:M464)</f>
        <v/>
      </c>
      <c r="P464" s="5">
        <f>MAX(J464:L464)/SUM(J464:L464)</f>
        <v/>
      </c>
    </row>
    <row r="465">
      <c r="A465" t="inlineStr">
        <is>
          <t>Segundo año</t>
        </is>
      </c>
      <c r="B465" t="inlineStr">
        <is>
          <t>Segundo periodo</t>
        </is>
      </c>
      <c r="C465" t="n">
        <v>28</v>
      </c>
      <c r="D465" t="n">
        <v>463</v>
      </c>
      <c r="E465" s="3" t="n">
        <v>46072</v>
      </c>
      <c r="F465" t="inlineStr">
        <is>
          <t>Punto de Acuerdo</t>
        </is>
      </c>
      <c r="G465" t="inlineStr">
        <is>
          <t>Acuerdo por el que se exhorta a la coordinación general de protección civil y gestión del riesgo de desastres, y a los doscientos doce ayuntamientos y cinco concejos municipales del estado, para que, en el ámbito de su respectiva competencia, verifiquen la integración y cumplimiento de los programas especiales de protección civil relacionados con la instalación y funcionamiento de juegos mecánicos</t>
        </is>
      </c>
      <c r="H465" t="n">
        <v>3</v>
      </c>
      <c r="I465" t="inlineStr">
        <is>
          <t>Seguridad Pública, Protección Civil y Narcotráfico</t>
        </is>
      </c>
      <c r="J465" t="n">
        <v>38</v>
      </c>
      <c r="K465" t="n">
        <v>0</v>
      </c>
      <c r="L465" t="n">
        <v>0</v>
      </c>
      <c r="M465" t="n">
        <v>3</v>
      </c>
      <c r="N465">
        <f>SUM(J465:M465)</f>
        <v/>
      </c>
      <c r="O465" s="4">
        <f>SUM(J465:L465)/SUM(J465:M465)</f>
        <v/>
      </c>
      <c r="P465" s="5">
        <f>MAX(J465:L465)/SUM(J465:L465)</f>
        <v/>
      </c>
    </row>
    <row r="466">
      <c r="A466" t="inlineStr">
        <is>
          <t>Segundo año</t>
        </is>
      </c>
      <c r="B466" t="inlineStr">
        <is>
          <t>Segundo periodo</t>
        </is>
      </c>
      <c r="C466" t="n">
        <v>29</v>
      </c>
      <c r="D466" t="n">
        <v>464</v>
      </c>
      <c r="E466" s="3" t="n">
        <v>46072</v>
      </c>
      <c r="F466" t="inlineStr">
        <is>
          <t>Punto de Acuerdo</t>
        </is>
      </c>
      <c r="G466" t="inlineStr">
        <is>
          <t>Acuerdo por el que se exhorta a la coordinación general de protección civil y gestión del riesgo de desastres, así como al centro integral de gestión de riesgos y protección civil del ayuntamiento de san martín texmelucan, para que, de manera coordinada y en el ámbito de su respectiva competencia, verifiquen la red de gas lp del mercado “domingo arenas”</t>
        </is>
      </c>
      <c r="H466" t="n">
        <v>3</v>
      </c>
      <c r="I466" t="inlineStr">
        <is>
          <t>Seguridad Pública, Protección Civil y Narcotráfico</t>
        </is>
      </c>
      <c r="J466" t="n">
        <v>38</v>
      </c>
      <c r="K466" t="n">
        <v>0</v>
      </c>
      <c r="L466" t="n">
        <v>0</v>
      </c>
      <c r="M466" t="n">
        <v>3</v>
      </c>
      <c r="N466">
        <f>SUM(J466:M466)</f>
        <v/>
      </c>
      <c r="O466" s="4">
        <f>SUM(J466:L466)/SUM(J466:M466)</f>
        <v/>
      </c>
      <c r="P466" s="5">
        <f>MAX(J466:L466)/SUM(J466:L466)</f>
        <v/>
      </c>
    </row>
    <row r="467">
      <c r="A467" t="inlineStr">
        <is>
          <t>Segundo año</t>
        </is>
      </c>
      <c r="B467" t="inlineStr">
        <is>
          <t>Segundo periodo</t>
        </is>
      </c>
      <c r="C467" t="n">
        <v>30</v>
      </c>
      <c r="D467" t="n">
        <v>465</v>
      </c>
      <c r="E467" s="3" t="n">
        <v>46072</v>
      </c>
      <c r="F467" t="inlineStr">
        <is>
          <t>Punto de Acuerdo</t>
        </is>
      </c>
      <c r="G467" t="inlineStr">
        <is>
          <t>Acuerdo por el que se exhorta a la secretaría de arte y cultura del estado para que, en coordinación con el instituto poblano de asistencia al migrante, así como con los municipios con mayor incidencia migratoria de la entidad, implemente y promueva eventos culturales de participación y reconocimiento de los y las artistas migrantes poblanas</t>
        </is>
      </c>
      <c r="H467" t="n">
        <v>9</v>
      </c>
      <c r="I467" t="inlineStr">
        <is>
          <t>Migración y fronteras</t>
        </is>
      </c>
      <c r="J467" t="n">
        <v>38</v>
      </c>
      <c r="K467" t="n">
        <v>0</v>
      </c>
      <c r="L467" t="n">
        <v>0</v>
      </c>
      <c r="M467" t="n">
        <v>3</v>
      </c>
      <c r="N467">
        <f>SUM(J467:M467)</f>
        <v/>
      </c>
      <c r="O467" s="4">
        <f>SUM(J467:L467)/SUM(J467:M467)</f>
        <v/>
      </c>
      <c r="P467" s="5">
        <f>MAX(J467:L467)/SUM(J467:L467)</f>
        <v/>
      </c>
    </row>
    <row r="468">
      <c r="A468" t="inlineStr">
        <is>
          <t>Segundo año</t>
        </is>
      </c>
      <c r="B468" t="inlineStr">
        <is>
          <t>Segundo periodo</t>
        </is>
      </c>
      <c r="C468" t="n">
        <v>31</v>
      </c>
      <c r="D468" t="n">
        <v>466</v>
      </c>
      <c r="E468" s="3" t="n">
        <v>46086</v>
      </c>
      <c r="F468" t="inlineStr">
        <is>
          <t>Iniciativa</t>
        </is>
      </c>
      <c r="G468" t="inlineStr">
        <is>
          <t>Dictamen con minuta de decreto por el cual se crea el organismo público descentralizado denominado “Universidad de la Creación del Arte y la Cultura”</t>
        </is>
      </c>
      <c r="H468" t="n">
        <v>8</v>
      </c>
      <c r="I468" t="inlineStr">
        <is>
          <t>Educación y Cultura</t>
        </is>
      </c>
      <c r="J468" t="n">
        <v>34</v>
      </c>
      <c r="K468" t="n">
        <v>0</v>
      </c>
      <c r="L468" t="n">
        <v>5</v>
      </c>
      <c r="M468" t="n">
        <v>2</v>
      </c>
      <c r="N468">
        <f>SUM(J468:M468)</f>
        <v/>
      </c>
      <c r="O468" s="4">
        <f>SUM(J468:L468)/SUM(J468:M468)</f>
        <v/>
      </c>
      <c r="P468" s="5">
        <f>MAX(J468:L468)/SUM(J468:L468)</f>
        <v/>
      </c>
    </row>
    <row r="469">
      <c r="A469" t="inlineStr">
        <is>
          <t>Segundo año</t>
        </is>
      </c>
      <c r="B469" t="inlineStr">
        <is>
          <t>Segundo periodo</t>
        </is>
      </c>
      <c r="C469" t="n">
        <v>32</v>
      </c>
      <c r="D469" t="n">
        <v>467</v>
      </c>
      <c r="E469" s="3" t="n">
        <v>46086</v>
      </c>
      <c r="F469" t="inlineStr">
        <is>
          <t>Iniciativa</t>
        </is>
      </c>
      <c r="G469" t="inlineStr">
        <is>
          <t>Dictamen con minuta de decreto por el cual se reforman y adicionan diversas disposiciones de la ley que crea el Consejo de Armonización Contable para el estado libre y soberano de</t>
        </is>
      </c>
      <c r="H469" t="n">
        <v>7</v>
      </c>
      <c r="I469" t="inlineStr">
        <is>
          <t>Impuestos, Finanzas Públicas, Patrimonio estatal y municipal</t>
        </is>
      </c>
      <c r="J469" t="n">
        <v>39</v>
      </c>
      <c r="K469" t="n">
        <v>0</v>
      </c>
      <c r="L469" t="n">
        <v>0</v>
      </c>
      <c r="M469" t="n">
        <v>0</v>
      </c>
      <c r="N469">
        <f>SUM(J469:M469)</f>
        <v/>
      </c>
      <c r="O469" s="4">
        <f>SUM(J469:L469)/SUM(J469:M469)</f>
        <v/>
      </c>
      <c r="P469" s="5">
        <f>MAX(J469:L469)/SUM(J469:L469)</f>
        <v/>
      </c>
    </row>
    <row r="470">
      <c r="A470" t="inlineStr">
        <is>
          <t>Segundo año</t>
        </is>
      </c>
      <c r="B470" t="inlineStr">
        <is>
          <t>Segundo periodo</t>
        </is>
      </c>
      <c r="C470" t="n">
        <v>33</v>
      </c>
      <c r="D470" t="n">
        <v>468</v>
      </c>
      <c r="E470" s="3" t="n">
        <v>46086</v>
      </c>
      <c r="F470" t="inlineStr">
        <is>
          <t>Punto de Acuerdo</t>
        </is>
      </c>
      <c r="G470" t="inlineStr">
        <is>
          <t>Acuerdo por el cual se denomina “Salón de Protocolo Elena Garro” al salón de protocolo de la sede alterna del honorable congreso del estado libre y soberano de</t>
        </is>
      </c>
      <c r="H470" t="n">
        <v>19</v>
      </c>
      <c r="I470" t="inlineStr">
        <is>
          <t>Internos del Congreso</t>
        </is>
      </c>
      <c r="J470" t="n">
        <v>39</v>
      </c>
      <c r="K470" t="n">
        <v>0</v>
      </c>
      <c r="L470" t="n">
        <v>0</v>
      </c>
      <c r="M470" t="n">
        <v>0</v>
      </c>
      <c r="N470">
        <f>SUM(J470:M470)</f>
        <v/>
      </c>
      <c r="O470" s="4">
        <f>SUM(J470:L470)/SUM(J470:M470)</f>
        <v/>
      </c>
      <c r="P470" s="5">
        <f>MAX(J470:L470)/SUM(J470:L470)</f>
        <v/>
      </c>
    </row>
    <row r="471">
      <c r="A471" t="inlineStr">
        <is>
          <t>Segundo año</t>
        </is>
      </c>
      <c r="B471" t="inlineStr">
        <is>
          <t>Segundo periodo</t>
        </is>
      </c>
      <c r="C471" t="n">
        <v>34</v>
      </c>
      <c r="D471" t="n">
        <v>469</v>
      </c>
      <c r="E471" s="3" t="n">
        <v>46086</v>
      </c>
      <c r="F471" t="inlineStr">
        <is>
          <t>Punto de Acuerdo</t>
        </is>
      </c>
      <c r="G471" t="inlineStr">
        <is>
          <t>Acuerdo por el que se exhorta a la secretaría de agricultura y desarrollo rural para que, en coordinación con la secretaría de desarrollo económico y trabajo, ambas del estado, implemente políticas públicas que prioricen e incentiven la comercialización y consumo de productos agropecuarios locales</t>
        </is>
      </c>
      <c r="H471" t="n">
        <v>12</v>
      </c>
      <c r="I471" t="inlineStr">
        <is>
          <t>Agricultura, Ganadería y Pesca</t>
        </is>
      </c>
      <c r="J471" t="n">
        <v>39</v>
      </c>
      <c r="K471" t="n">
        <v>0</v>
      </c>
      <c r="L471" t="n">
        <v>0</v>
      </c>
      <c r="M471" t="n">
        <v>0</v>
      </c>
      <c r="N471">
        <f>SUM(J471:M471)</f>
        <v/>
      </c>
      <c r="O471" s="4">
        <f>SUM(J471:L471)/SUM(J471:M471)</f>
        <v/>
      </c>
      <c r="P471" s="5">
        <f>MAX(J471:L471)/SUM(J471:L471)</f>
        <v/>
      </c>
    </row>
    <row r="472">
      <c r="A472" t="inlineStr">
        <is>
          <t>Segundo año</t>
        </is>
      </c>
      <c r="B472" t="inlineStr">
        <is>
          <t>Segundo periodo</t>
        </is>
      </c>
      <c r="C472" t="n">
        <v>35</v>
      </c>
      <c r="D472" t="n">
        <v>470</v>
      </c>
      <c r="E472" s="3" t="n">
        <v>46086</v>
      </c>
      <c r="F472" t="inlineStr">
        <is>
          <t>Punto de Acuerdo</t>
        </is>
      </c>
      <c r="G472" t="inlineStr">
        <is>
          <t>Acuerdo por el que se exhorta a la secretaría de agricultura y desarrollo rural del estado, para que implemente acciones coordinadas con los ayuntamientos, concejos municipales y las asociaciones ganaderas de la entidad</t>
        </is>
      </c>
      <c r="H472" t="n">
        <v>12</v>
      </c>
      <c r="I472" t="inlineStr">
        <is>
          <t>Agricultura, Ganadería y Pesca</t>
        </is>
      </c>
      <c r="J472" t="n">
        <v>39</v>
      </c>
      <c r="K472" t="n">
        <v>0</v>
      </c>
      <c r="L472" t="n">
        <v>0</v>
      </c>
      <c r="M472" t="n">
        <v>0</v>
      </c>
      <c r="N472">
        <f>SUM(J472:M472)</f>
        <v/>
      </c>
      <c r="O472" s="4">
        <f>SUM(J472:L472)/SUM(J472:M472)</f>
        <v/>
      </c>
      <c r="P472" s="5">
        <f>MAX(J472:L472)/SUM(J472:L472)</f>
        <v/>
      </c>
    </row>
    <row r="473">
      <c r="A473" t="inlineStr">
        <is>
          <t>Segundo año</t>
        </is>
      </c>
      <c r="B473" t="inlineStr">
        <is>
          <t>Segundo periodo</t>
        </is>
      </c>
      <c r="C473" t="n">
        <v>36</v>
      </c>
      <c r="D473" t="n">
        <v>471</v>
      </c>
      <c r="E473" s="3" t="n">
        <v>46086</v>
      </c>
      <c r="F473" t="inlineStr">
        <is>
          <t>Punto de Acuerdo</t>
        </is>
      </c>
      <c r="G473" t="inlineStr">
        <is>
          <t>Acuerdo por el que se exhorta a la secretaría de deporte y juventud, y a la secretaría de ciencia, humanidades, tecnología e innovación, ambas del estado</t>
        </is>
      </c>
      <c r="H473" t="n">
        <v>8</v>
      </c>
      <c r="I473" t="inlineStr">
        <is>
          <t>Educación y Cultura</t>
        </is>
      </c>
      <c r="J473" t="n">
        <v>39</v>
      </c>
      <c r="K473" t="n">
        <v>0</v>
      </c>
      <c r="L473" t="n">
        <v>0</v>
      </c>
      <c r="M473" t="n">
        <v>0</v>
      </c>
      <c r="N473">
        <f>SUM(J473:M473)</f>
        <v/>
      </c>
      <c r="O473" s="4">
        <f>SUM(J473:L473)/SUM(J473:M473)</f>
        <v/>
      </c>
      <c r="P473" s="5">
        <f>MAX(J473:L473)/SUM(J473:L473)</f>
        <v/>
      </c>
    </row>
    <row r="474">
      <c r="A474" t="inlineStr">
        <is>
          <t>Segundo año</t>
        </is>
      </c>
      <c r="B474" t="inlineStr">
        <is>
          <t>Segundo periodo</t>
        </is>
      </c>
      <c r="C474" t="n">
        <v>37</v>
      </c>
      <c r="D474" t="n">
        <v>472</v>
      </c>
      <c r="E474" s="3" t="n">
        <v>46086</v>
      </c>
      <c r="F474" t="inlineStr">
        <is>
          <t>Punto de Acuerdo</t>
        </is>
      </c>
      <c r="G474" t="inlineStr">
        <is>
          <t>Acuerdo por el que se exhorta a la secretaría de desarrollo turístico para que, de manera coordinada con los doscientos doce ayuntamientos y cinco concejos municipales del estado, fortalezcan la difusión de nuestra oferta turística</t>
        </is>
      </c>
      <c r="H474" t="n">
        <v>1</v>
      </c>
      <c r="I474" t="inlineStr">
        <is>
          <t>Economía, Comercio y Competitividad</t>
        </is>
      </c>
      <c r="J474" t="n">
        <v>39</v>
      </c>
      <c r="K474" t="n">
        <v>0</v>
      </c>
      <c r="L474" t="n">
        <v>0</v>
      </c>
      <c r="M474" t="n">
        <v>0</v>
      </c>
      <c r="N474">
        <f>SUM(J474:M474)</f>
        <v/>
      </c>
      <c r="O474" s="4">
        <f>SUM(J474:L474)/SUM(J474:M474)</f>
        <v/>
      </c>
      <c r="P474" s="5">
        <f>MAX(J474:L474)/SUM(J474:L474)</f>
        <v/>
      </c>
    </row>
    <row r="475">
      <c r="A475" t="inlineStr">
        <is>
          <t>Segundo año</t>
        </is>
      </c>
      <c r="B475" t="inlineStr">
        <is>
          <t>Segundo periodo</t>
        </is>
      </c>
      <c r="C475" t="n">
        <v>38</v>
      </c>
      <c r="D475" t="n">
        <v>473</v>
      </c>
      <c r="E475" s="3" t="n">
        <v>46086</v>
      </c>
      <c r="F475" t="inlineStr">
        <is>
          <t>Punto de Acuerdo</t>
        </is>
      </c>
      <c r="G475" t="inlineStr">
        <is>
          <t>Acuerdo por el que se exhorta a la secretaría de arte y cultura y a la secretaría de desarrollo turístico, ambas del estado de, a diseñar e implementar un programa que tenga por finalidad “conocer los municipios de”</t>
        </is>
      </c>
      <c r="H475" t="n">
        <v>8</v>
      </c>
      <c r="I475" t="inlineStr">
        <is>
          <t>Educación y Cultura</t>
        </is>
      </c>
      <c r="J475" t="n">
        <v>39</v>
      </c>
      <c r="K475" t="n">
        <v>0</v>
      </c>
      <c r="L475" t="n">
        <v>0</v>
      </c>
      <c r="M475" t="n">
        <v>0</v>
      </c>
      <c r="N475">
        <f>SUM(J475:M475)</f>
        <v/>
      </c>
      <c r="O475" s="4">
        <f>SUM(J475:L475)/SUM(J475:M475)</f>
        <v/>
      </c>
      <c r="P475" s="5">
        <f>MAX(J475:L475)/SUM(J475:L475)</f>
        <v/>
      </c>
    </row>
    <row r="476">
      <c r="A476" t="inlineStr">
        <is>
          <t>Segundo año</t>
        </is>
      </c>
      <c r="B476" t="inlineStr">
        <is>
          <t>Segundo periodo</t>
        </is>
      </c>
      <c r="C476" t="n">
        <v>39</v>
      </c>
      <c r="D476" t="n">
        <v>474</v>
      </c>
      <c r="E476" s="3" t="n">
        <v>46086</v>
      </c>
      <c r="F476" t="inlineStr">
        <is>
          <t>Punto de Acuerdo</t>
        </is>
      </c>
      <c r="G476" t="inlineStr">
        <is>
          <t>Acuerdo por el que se exhorta a la secretaría de desarrollo turístico del estado, para que, elabore, difunda y promueva el cumplimiento de un código de conducta estatal en materia de turismo</t>
        </is>
      </c>
      <c r="H476" t="n">
        <v>1</v>
      </c>
      <c r="I476" t="inlineStr">
        <is>
          <t>Economía, Comercio y Competitividad</t>
        </is>
      </c>
      <c r="J476" t="n">
        <v>39</v>
      </c>
      <c r="K476" t="n">
        <v>0</v>
      </c>
      <c r="L476" t="n">
        <v>0</v>
      </c>
      <c r="M476" t="n">
        <v>0</v>
      </c>
      <c r="N476">
        <f>SUM(J476:M476)</f>
        <v/>
      </c>
      <c r="O476" s="4">
        <f>SUM(J476:L476)/SUM(J476:M476)</f>
        <v/>
      </c>
      <c r="P476" s="5">
        <f>MAX(J476:L476)/SUM(J476:L476)</f>
        <v/>
      </c>
    </row>
    <row r="477">
      <c r="A477" t="inlineStr">
        <is>
          <t>Segundo año</t>
        </is>
      </c>
      <c r="B477" t="inlineStr">
        <is>
          <t>Segundo periodo</t>
        </is>
      </c>
      <c r="C477" t="n">
        <v>40</v>
      </c>
      <c r="D477" t="n">
        <v>475</v>
      </c>
      <c r="E477" s="3" t="n">
        <v>46086</v>
      </c>
      <c r="F477" t="inlineStr">
        <is>
          <t>Punto de Acuerdo</t>
        </is>
      </c>
      <c r="G477" t="inlineStr">
        <is>
          <t>Acuerdo por el que se exhorta a los doscientos doce ayuntamientos y cinco concejos municipales del estado, para que, creen o, en su caso, fortalezcan el funcionamiento de su comité para prevenir y eliminar la discriminación</t>
        </is>
      </c>
      <c r="H477" t="n">
        <v>14</v>
      </c>
      <c r="I477" t="inlineStr">
        <is>
          <t>Justicia y Estado de Derecho</t>
        </is>
      </c>
      <c r="J477" t="n">
        <v>39</v>
      </c>
      <c r="K477" t="n">
        <v>0</v>
      </c>
      <c r="L477" t="n">
        <v>0</v>
      </c>
      <c r="M477" t="n">
        <v>0</v>
      </c>
      <c r="N477">
        <f>SUM(J477:M477)</f>
        <v/>
      </c>
      <c r="O477" s="4">
        <f>SUM(J477:L477)/SUM(J477:M477)</f>
        <v/>
      </c>
      <c r="P477" s="5">
        <f>MAX(J477:L477)/SUM(J477:L477)</f>
        <v/>
      </c>
    </row>
    <row r="478">
      <c r="A478" t="inlineStr">
        <is>
          <t>Segundo año</t>
        </is>
      </c>
      <c r="B478" t="inlineStr">
        <is>
          <t>Segundo periodo</t>
        </is>
      </c>
      <c r="C478" t="n">
        <v>41</v>
      </c>
      <c r="D478" t="n">
        <v>476</v>
      </c>
      <c r="E478" s="3" t="n">
        <v>46086</v>
      </c>
      <c r="F478" t="inlineStr">
        <is>
          <t>Punto de Acuerdo</t>
        </is>
      </c>
      <c r="G478" t="inlineStr">
        <is>
          <t>Acuerdo por el que se exhorta a la secretaría de deporte y juventud del estado, para que, a partir de la convocatoria del premio estatal de la juventud “vicente suárez” 2026, considere la creación de una categoría que premie el trabajo en favor de la población con discapacidad</t>
        </is>
      </c>
      <c r="H478" t="n">
        <v>2</v>
      </c>
      <c r="I478" t="inlineStr">
        <is>
          <t>Pobreza y Política Social</t>
        </is>
      </c>
      <c r="J478" t="n">
        <v>39</v>
      </c>
      <c r="K478" t="n">
        <v>0</v>
      </c>
      <c r="L478" t="n">
        <v>0</v>
      </c>
      <c r="M478" t="n">
        <v>0</v>
      </c>
      <c r="N478">
        <f>SUM(J478:M478)</f>
        <v/>
      </c>
      <c r="O478" s="4">
        <f>SUM(J478:L478)/SUM(J478:M478)</f>
        <v/>
      </c>
      <c r="P478" s="5">
        <f>MAX(J478:L478)/SUM(J478:L478)</f>
        <v/>
      </c>
    </row>
    <row r="479">
      <c r="A479" t="inlineStr">
        <is>
          <t>Segundo año</t>
        </is>
      </c>
      <c r="B479" t="inlineStr">
        <is>
          <t>Segundo periodo</t>
        </is>
      </c>
      <c r="C479" t="n">
        <v>42</v>
      </c>
      <c r="D479" t="n">
        <v>477</v>
      </c>
      <c r="E479" s="3" t="n">
        <v>46086</v>
      </c>
      <c r="F479" t="inlineStr">
        <is>
          <t>Punto de Acuerdo</t>
        </is>
      </c>
      <c r="G479" t="inlineStr">
        <is>
          <t>Acuerdo por el que se exhorta a la secretaría de deporte y juventud del estado, para que, en coordinación con los doscientos doce ayuntamientos y cinco concejos municipales, promueva e incentive la difusión y conocimiento de la lucha libre mexicana</t>
        </is>
      </c>
      <c r="H479" t="n">
        <v>8</v>
      </c>
      <c r="I479" t="inlineStr">
        <is>
          <t>Educación y Cultura</t>
        </is>
      </c>
      <c r="J479" t="n">
        <v>39</v>
      </c>
      <c r="K479" t="n">
        <v>0</v>
      </c>
      <c r="L479" t="n">
        <v>0</v>
      </c>
      <c r="M479" t="n">
        <v>0</v>
      </c>
      <c r="N479">
        <f>SUM(J479:M479)</f>
        <v/>
      </c>
      <c r="O479" s="4">
        <f>SUM(J479:L479)/SUM(J479:M479)</f>
        <v/>
      </c>
      <c r="P479" s="5">
        <f>MAX(J479:L479)/SUM(J479:L479)</f>
        <v/>
      </c>
    </row>
    <row r="480">
      <c r="A480" t="inlineStr">
        <is>
          <t>Segundo año</t>
        </is>
      </c>
      <c r="B480" t="inlineStr">
        <is>
          <t>Segundo periodo</t>
        </is>
      </c>
      <c r="C480" t="n">
        <v>43</v>
      </c>
      <c r="D480" t="n">
        <v>478</v>
      </c>
      <c r="E480" s="3" t="n">
        <v>46086</v>
      </c>
      <c r="F480" t="inlineStr">
        <is>
          <t>Punto de Acuerdo</t>
        </is>
      </c>
      <c r="G480" t="inlineStr">
        <is>
          <t>Acuerdo por el que se exhorta a los doscientos doce ayuntamientos y cinco concejos municipales del estado, con especial énfasis en los cincuenta ayuntamientos que actualmente cuentan con declaratoria de alerta de violencia de género contra las mujeres</t>
        </is>
      </c>
      <c r="H480" t="n">
        <v>20</v>
      </c>
      <c r="I480" t="inlineStr">
        <is>
          <t>Justicia y Estado de Derecho en temas de Mujeres</t>
        </is>
      </c>
      <c r="J480" t="n">
        <v>39</v>
      </c>
      <c r="K480" t="n">
        <v>0</v>
      </c>
      <c r="L480" t="n">
        <v>0</v>
      </c>
      <c r="M480" t="n">
        <v>0</v>
      </c>
      <c r="N480">
        <f>SUM(J480:M480)</f>
        <v/>
      </c>
      <c r="O480" s="4">
        <f>SUM(J480:L480)/SUM(J480:M480)</f>
        <v/>
      </c>
      <c r="P480" s="5">
        <f>MAX(J480:L480)/SUM(J480:L480)</f>
        <v/>
      </c>
    </row>
    <row r="481">
      <c r="A481" t="inlineStr">
        <is>
          <t>Segundo año</t>
        </is>
      </c>
      <c r="B481" t="inlineStr">
        <is>
          <t>Segundo periodo</t>
        </is>
      </c>
      <c r="C481" t="n">
        <v>44</v>
      </c>
      <c r="D481" t="n">
        <v>479</v>
      </c>
      <c r="E481" s="3" t="n">
        <v>46093</v>
      </c>
      <c r="F481" t="inlineStr">
        <is>
          <t>Iniciativa</t>
        </is>
      </c>
      <c r="G481" t="inlineStr">
        <is>
          <t>Dictamen con minuta de decreto por el cual se reforma la fracción II del artículo 56 de la Ley Orgánica Municipal</t>
        </is>
      </c>
      <c r="H481" t="n">
        <v>18</v>
      </c>
      <c r="I481" t="inlineStr">
        <is>
          <t>Administración Pública</t>
        </is>
      </c>
      <c r="J481" t="n">
        <v>35</v>
      </c>
      <c r="K481" t="n">
        <v>0</v>
      </c>
      <c r="L481" t="n">
        <v>0</v>
      </c>
      <c r="M481" t="n">
        <v>0</v>
      </c>
      <c r="N481">
        <f>SUM(J481:M481)</f>
        <v/>
      </c>
      <c r="O481" s="4">
        <f>SUM(J481:L481)/SUM(J481:M481)</f>
        <v/>
      </c>
      <c r="P481" s="5">
        <f>MAX(J481:L481)/SUM(J481:L481)</f>
        <v/>
      </c>
    </row>
    <row r="482">
      <c r="A482" t="inlineStr">
        <is>
          <t>Segundo año</t>
        </is>
      </c>
      <c r="B482" t="inlineStr">
        <is>
          <t>Segundo periodo</t>
        </is>
      </c>
      <c r="C482" t="n">
        <v>45</v>
      </c>
      <c r="D482" t="n">
        <v>480</v>
      </c>
      <c r="E482" s="3" t="n">
        <v>46093</v>
      </c>
      <c r="F482" t="inlineStr">
        <is>
          <t>Iniciativa</t>
        </is>
      </c>
      <c r="G482" t="inlineStr">
        <is>
          <t>Dictamen con minuta de decreto por el cual se reforman y adicionan diversas disposiciones de la Ley de Desarrollo Económico Sustentable del estado</t>
        </is>
      </c>
      <c r="H482" t="n">
        <v>1</v>
      </c>
      <c r="I482" t="inlineStr">
        <is>
          <t>Economía, Comercio y Competitividad</t>
        </is>
      </c>
      <c r="J482" t="n">
        <v>35</v>
      </c>
      <c r="K482" t="n">
        <v>0</v>
      </c>
      <c r="L482" t="n">
        <v>0</v>
      </c>
      <c r="M482" t="n">
        <v>0</v>
      </c>
      <c r="N482">
        <f>SUM(J482:M482)</f>
        <v/>
      </c>
      <c r="O482" s="4">
        <f>SUM(J482:L482)/SUM(J482:M482)</f>
        <v/>
      </c>
      <c r="P482" s="5">
        <f>MAX(J482:L482)/SUM(J482:L482)</f>
        <v/>
      </c>
    </row>
    <row r="483">
      <c r="A483" t="inlineStr">
        <is>
          <t>Segundo año</t>
        </is>
      </c>
      <c r="B483" t="inlineStr">
        <is>
          <t>Segundo periodo</t>
        </is>
      </c>
      <c r="C483" t="n">
        <v>46</v>
      </c>
      <c r="D483" t="n">
        <v>481</v>
      </c>
      <c r="E483" s="3" t="n">
        <v>46093</v>
      </c>
      <c r="F483" t="inlineStr">
        <is>
          <t>Iniciativa</t>
        </is>
      </c>
      <c r="G483" t="inlineStr">
        <is>
          <t>Dictamen con minuta de decreto por el cual se reforma la fracción V del artículo 18, y se adiciona la fracción IV bis al artículo 3 de la Ley de Turismo del estado</t>
        </is>
      </c>
      <c r="H483" t="n">
        <v>1</v>
      </c>
      <c r="I483" t="inlineStr">
        <is>
          <t>Economía, Comercio y Competitividad</t>
        </is>
      </c>
      <c r="J483" t="n">
        <v>36</v>
      </c>
      <c r="K483" t="n">
        <v>0</v>
      </c>
      <c r="L483" t="n">
        <v>0</v>
      </c>
      <c r="M483" t="n">
        <v>0</v>
      </c>
      <c r="N483">
        <f>SUM(J483:M483)</f>
        <v/>
      </c>
      <c r="O483" s="4">
        <f>SUM(J483:L483)/SUM(J483:M483)</f>
        <v/>
      </c>
      <c r="P483" s="5">
        <f>MAX(J483:L483)/SUM(J483:L483)</f>
        <v/>
      </c>
    </row>
    <row r="484">
      <c r="A484" t="inlineStr">
        <is>
          <t>Segundo año</t>
        </is>
      </c>
      <c r="B484" t="inlineStr">
        <is>
          <t>Segundo periodo</t>
        </is>
      </c>
      <c r="C484" t="n">
        <v>47</v>
      </c>
      <c r="D484" t="n">
        <v>482</v>
      </c>
      <c r="E484" s="3" t="n">
        <v>46093</v>
      </c>
      <c r="F484" t="inlineStr">
        <is>
          <t>Punto de Acuerdo</t>
        </is>
      </c>
      <c r="G484" t="inlineStr">
        <is>
          <t>Acuerdo por el que se exhorta a los doscientos doce ayuntamientos y cinco concejos municipales del estado, para que fortalezcan la vigilancia para prevenir y, en su caso, sancionar la obstrucción o apartado indebido de la vía pública para estacionamiento vehicular</t>
        </is>
      </c>
      <c r="H484" t="n">
        <v>11</v>
      </c>
      <c r="I484" t="inlineStr">
        <is>
          <t>Infraestructura, Movilidad y Transporte</t>
        </is>
      </c>
      <c r="J484" t="n">
        <v>36</v>
      </c>
      <c r="K484" t="n">
        <v>0</v>
      </c>
      <c r="L484" t="n">
        <v>0</v>
      </c>
      <c r="M484" t="n">
        <v>0</v>
      </c>
      <c r="N484">
        <f>SUM(J484:M484)</f>
        <v/>
      </c>
      <c r="O484" s="4">
        <f>SUM(J484:L484)/SUM(J484:M484)</f>
        <v/>
      </c>
      <c r="P484" s="5">
        <f>MAX(J484:L484)/SUM(J484:L484)</f>
        <v/>
      </c>
    </row>
    <row r="485">
      <c r="A485" t="inlineStr">
        <is>
          <t>Segundo año</t>
        </is>
      </c>
      <c r="B485" t="inlineStr">
        <is>
          <t>Segundo periodo</t>
        </is>
      </c>
      <c r="C485" t="n">
        <v>48</v>
      </c>
      <c r="D485" t="n">
        <v>483</v>
      </c>
      <c r="E485" s="3" t="n">
        <v>46096</v>
      </c>
      <c r="F485" t="inlineStr">
        <is>
          <t>Iniciativa</t>
        </is>
      </c>
      <c r="G485" t="inlineStr">
        <is>
          <t>Dictamen con minuta de decreto por el cual la propuesta para integrar la segunda mesa directiva del segundo año de ejercicio legal</t>
        </is>
      </c>
      <c r="H485" t="n">
        <v>19</v>
      </c>
      <c r="I485" t="inlineStr">
        <is>
          <t>Internos del Congreso</t>
        </is>
      </c>
      <c r="J485" t="n">
        <v>35</v>
      </c>
      <c r="K485" t="n">
        <v>0</v>
      </c>
      <c r="L485" t="n">
        <v>0</v>
      </c>
      <c r="M485" t="n">
        <v>6</v>
      </c>
      <c r="N485">
        <f>SUM(J485:M485)</f>
        <v/>
      </c>
      <c r="O485" s="4">
        <f>SUM(J485:L485)/SUM(J485:M485)</f>
        <v/>
      </c>
      <c r="P485" s="5">
        <f>MAX(J485:L485)/SUM(J485:L485)</f>
        <v/>
      </c>
    </row>
    <row r="486">
      <c r="A486" t="inlineStr">
        <is>
          <t>Segundo año</t>
        </is>
      </c>
      <c r="B486" t="inlineStr">
        <is>
          <t>Segundo periodo</t>
        </is>
      </c>
      <c r="C486" t="n">
        <v>49</v>
      </c>
      <c r="D486" t="n">
        <v>484</v>
      </c>
      <c r="E486" s="3" t="n">
        <v>46096</v>
      </c>
      <c r="F486" t="inlineStr">
        <is>
          <t>Punto de Acuerdo</t>
        </is>
      </c>
      <c r="G486" t="inlineStr">
        <is>
          <t>Acuerdo por el cual la propuesta para integrar a dos miembros de la comisión permanente que actuaran del dieciséis de marzo al catorce de mayo de dos mil veintiséis</t>
        </is>
      </c>
      <c r="H486" t="n">
        <v>19</v>
      </c>
      <c r="I486" t="inlineStr">
        <is>
          <t>Internos del Congreso</t>
        </is>
      </c>
      <c r="J486" t="n">
        <v>36</v>
      </c>
      <c r="K486" t="n">
        <v>0</v>
      </c>
      <c r="L486" t="n">
        <v>0</v>
      </c>
      <c r="M486" t="n">
        <v>5</v>
      </c>
      <c r="N486">
        <f>SUM(J486:M486)</f>
        <v/>
      </c>
      <c r="O486" s="4">
        <f>SUM(J486:L486)/SUM(J486:M486)</f>
        <v/>
      </c>
      <c r="P486" s="5">
        <f>MAX(J486:L486)/SUM(J486:L486)</f>
        <v/>
      </c>
    </row>
    <row r="487">
      <c r="A487" t="inlineStr">
        <is>
          <t>Segundo año</t>
        </is>
      </c>
      <c r="B487" t="inlineStr">
        <is>
          <t>Segundo periodo</t>
        </is>
      </c>
      <c r="C487" t="n">
        <v>50</v>
      </c>
      <c r="D487" t="n">
        <v>485</v>
      </c>
      <c r="E487" s="3" t="n">
        <v>46096</v>
      </c>
      <c r="F487" t="inlineStr">
        <is>
          <t>Iniciativa</t>
        </is>
      </c>
      <c r="G487" t="inlineStr">
        <is>
          <t>Dictamen con minuta de decreto por el cual se reforma la fracción ix del artículo 43 y se adiciona un segundo párrafo al artículo 13 de la ley para el acceso de las mujeres a una vida libre de violencia del estado</t>
        </is>
      </c>
      <c r="H487" t="n">
        <v>20</v>
      </c>
      <c r="I487" t="inlineStr">
        <is>
          <t>Justicia y Estado de Derecho en temas de Mujeres</t>
        </is>
      </c>
      <c r="J487" t="n">
        <v>36</v>
      </c>
      <c r="K487" t="n">
        <v>0</v>
      </c>
      <c r="L487" t="n">
        <v>0</v>
      </c>
      <c r="M487" t="n">
        <v>5</v>
      </c>
      <c r="N487">
        <f>SUM(J487:M487)</f>
        <v/>
      </c>
      <c r="O487" s="4">
        <f>SUM(J487:L487)/SUM(J487:M487)</f>
        <v/>
      </c>
      <c r="P487" s="5">
        <f>MAX(J487:L487)/SUM(J487:L487)</f>
        <v/>
      </c>
    </row>
    <row r="488">
      <c r="A488" t="inlineStr">
        <is>
          <t>Segundo año</t>
        </is>
      </c>
      <c r="B488" t="inlineStr">
        <is>
          <t>Segundo periodo</t>
        </is>
      </c>
      <c r="C488" t="n">
        <v>51</v>
      </c>
      <c r="D488" t="n">
        <v>486</v>
      </c>
      <c r="E488" s="3" t="n">
        <v>46096</v>
      </c>
      <c r="F488" t="inlineStr">
        <is>
          <t>Iniciativa</t>
        </is>
      </c>
      <c r="G488" t="inlineStr">
        <is>
          <t>Dictamen con minuta de decreto por el cual se reforma el primer párrafo y se adiciona un segundo párrafo, recorriéndose en su orden los subsecuentes, del artículo 26 de la ley de los trabajadores al servicio del estado</t>
        </is>
      </c>
      <c r="H488" t="n">
        <v>16</v>
      </c>
      <c r="I488" t="inlineStr">
        <is>
          <t>Trabajo y Previsión Social</t>
        </is>
      </c>
      <c r="J488" t="n">
        <v>36</v>
      </c>
      <c r="K488" t="n">
        <v>0</v>
      </c>
      <c r="L488" t="n">
        <v>0</v>
      </c>
      <c r="M488" t="n">
        <v>5</v>
      </c>
      <c r="N488">
        <f>SUM(J488:M488)</f>
        <v/>
      </c>
      <c r="O488" s="4">
        <f>SUM(J488:L488)/SUM(J488:M488)</f>
        <v/>
      </c>
      <c r="P488" s="5">
        <f>MAX(J488:L488)/SUM(J488:L488)</f>
        <v/>
      </c>
    </row>
    <row r="489">
      <c r="A489" t="inlineStr">
        <is>
          <t>Segundo año</t>
        </is>
      </c>
      <c r="B489" t="inlineStr">
        <is>
          <t>Segundo periodo</t>
        </is>
      </c>
      <c r="C489" t="n">
        <v>52</v>
      </c>
      <c r="D489" t="n">
        <v>487</v>
      </c>
      <c r="E489" s="3" t="n">
        <v>46096</v>
      </c>
      <c r="F489" t="inlineStr">
        <is>
          <t>Iniciativa</t>
        </is>
      </c>
      <c r="G489" t="inlineStr">
        <is>
          <t>Dictamen con minuta de decreto por el cual se reforman las fracciones i bis, viii y ix, y se adicionan las fracciones i ter, ix bis y ix ter todas del artículo 2 de la ley de seguridad integral escolar para el estado libre y soberano</t>
        </is>
      </c>
      <c r="H489" t="n">
        <v>8</v>
      </c>
      <c r="I489" t="inlineStr">
        <is>
          <t>Educación y Cultura</t>
        </is>
      </c>
      <c r="J489" t="n">
        <v>36</v>
      </c>
      <c r="K489" t="n">
        <v>0</v>
      </c>
      <c r="L489" t="n">
        <v>0</v>
      </c>
      <c r="M489" t="n">
        <v>5</v>
      </c>
      <c r="N489">
        <f>SUM(J489:M489)</f>
        <v/>
      </c>
      <c r="O489" s="4">
        <f>SUM(J489:L489)/SUM(J489:M489)</f>
        <v/>
      </c>
      <c r="P489" s="5">
        <f>MAX(J489:L489)/SUM(J489:L489)</f>
        <v/>
      </c>
    </row>
    <row r="490">
      <c r="A490" t="inlineStr">
        <is>
          <t>Segundo año</t>
        </is>
      </c>
      <c r="B490" t="inlineStr">
        <is>
          <t>Segundo periodo</t>
        </is>
      </c>
      <c r="C490" t="n">
        <v>53</v>
      </c>
      <c r="D490" t="n">
        <v>488</v>
      </c>
      <c r="E490" s="3" t="n">
        <v>46096</v>
      </c>
      <c r="F490" t="inlineStr">
        <is>
          <t>Iniciativa</t>
        </is>
      </c>
      <c r="G490" t="inlineStr">
        <is>
          <t>Dictamen con minuta de decreto por el cual se adiciona el capítulo v denominado “del apoyo escolar comunitario” al título décimo “de la corresponsabilidad social en el proceso educativo”, así como los artículos 136 bis, 136 ter y 136 quáter a la ley de educación del estado</t>
        </is>
      </c>
      <c r="H490" t="n">
        <v>8</v>
      </c>
      <c r="I490" t="inlineStr">
        <is>
          <t>Educación y Cultura</t>
        </is>
      </c>
      <c r="J490" t="n">
        <v>36</v>
      </c>
      <c r="K490" t="n">
        <v>0</v>
      </c>
      <c r="L490" t="n">
        <v>0</v>
      </c>
      <c r="M490" t="n">
        <v>5</v>
      </c>
      <c r="N490">
        <f>SUM(J490:M490)</f>
        <v/>
      </c>
      <c r="O490" s="4">
        <f>SUM(J490:L490)/SUM(J490:M490)</f>
        <v/>
      </c>
      <c r="P490" s="5">
        <f>MAX(J490:L490)/SUM(J490:L490)</f>
        <v/>
      </c>
    </row>
    <row r="491">
      <c r="A491" t="inlineStr">
        <is>
          <t>Segundo año</t>
        </is>
      </c>
      <c r="B491" t="inlineStr">
        <is>
          <t>Segundo periodo</t>
        </is>
      </c>
      <c r="C491" t="n">
        <v>54</v>
      </c>
      <c r="D491" t="n">
        <v>489</v>
      </c>
      <c r="E491" s="3" t="n">
        <v>46096</v>
      </c>
      <c r="F491" t="inlineStr">
        <is>
          <t>Iniciativa</t>
        </is>
      </c>
      <c r="G491" t="inlineStr">
        <is>
          <t>Dictamen con minuta de decreto por el cual se reforma el primer párrafo al artículo 110 de la ley de transportes del estado</t>
        </is>
      </c>
      <c r="H491" t="n">
        <v>11</v>
      </c>
      <c r="I491" t="inlineStr">
        <is>
          <t>Infraestructura, Movilidad y Transporte</t>
        </is>
      </c>
      <c r="J491" t="n">
        <v>36</v>
      </c>
      <c r="K491" t="n">
        <v>0</v>
      </c>
      <c r="L491" t="n">
        <v>0</v>
      </c>
      <c r="M491" t="n">
        <v>5</v>
      </c>
      <c r="N491">
        <f>SUM(J491:M491)</f>
        <v/>
      </c>
      <c r="O491" s="4">
        <f>SUM(J491:L491)/SUM(J491:M491)</f>
        <v/>
      </c>
      <c r="P491" s="5">
        <f>MAX(J491:L491)/SUM(J491:L491)</f>
        <v/>
      </c>
    </row>
    <row r="492">
      <c r="A492" t="inlineStr">
        <is>
          <t>Segundo año</t>
        </is>
      </c>
      <c r="B492" t="inlineStr">
        <is>
          <t>Segundo periodo</t>
        </is>
      </c>
      <c r="C492" t="n">
        <v>55</v>
      </c>
      <c r="D492" t="n">
        <v>490</v>
      </c>
      <c r="E492" s="3" t="n">
        <v>46096</v>
      </c>
      <c r="F492" t="inlineStr">
        <is>
          <t>Iniciativa</t>
        </is>
      </c>
      <c r="G492" t="inlineStr">
        <is>
          <t>Dictamen con minuta de decreto por el cual se reforma el párrafo primero del artículo 20 de la ley sobre el sistema estatal de asistencia social</t>
        </is>
      </c>
      <c r="H492" t="n">
        <v>2</v>
      </c>
      <c r="I492" t="inlineStr">
        <is>
          <t>Pobreza y Política Social</t>
        </is>
      </c>
      <c r="J492" t="n">
        <v>31</v>
      </c>
      <c r="K492" t="n">
        <v>5</v>
      </c>
      <c r="L492" t="n">
        <v>0</v>
      </c>
      <c r="M492" t="n">
        <v>5</v>
      </c>
      <c r="N492">
        <f>SUM(J492:M492)</f>
        <v/>
      </c>
      <c r="O492" s="4">
        <f>SUM(J492:L492)/SUM(J492:M492)</f>
        <v/>
      </c>
      <c r="P492" s="5">
        <f>MAX(J492:L492)/SUM(J492:L492)</f>
        <v/>
      </c>
    </row>
    <row r="493">
      <c r="A493" t="inlineStr">
        <is>
          <t>Segundo año</t>
        </is>
      </c>
      <c r="B493" t="inlineStr">
        <is>
          <t>Segundo periodo</t>
        </is>
      </c>
      <c r="C493" t="n">
        <v>56</v>
      </c>
      <c r="D493" t="n">
        <v>491</v>
      </c>
      <c r="E493" s="3" t="n">
        <v>46096</v>
      </c>
      <c r="F493" t="inlineStr">
        <is>
          <t>Iniciativa</t>
        </is>
      </c>
      <c r="G493" t="inlineStr">
        <is>
          <t>Dictamen con minuta de decreto por el cual se reforman la fracción vii del artículo 2, las fracciones iv y v del 3, las fracciones ii y v del 22; y se adicionan la fracción vi al artículo 3 y la fracción vi al 22; todos de la ley de obra pública y servicios relacionados con la misma para el estado</t>
        </is>
      </c>
      <c r="H493" t="n">
        <v>11</v>
      </c>
      <c r="I493" t="inlineStr">
        <is>
          <t>Infraestructura, Movilidad y Transporte</t>
        </is>
      </c>
      <c r="J493" t="n">
        <v>29</v>
      </c>
      <c r="K493" t="n">
        <v>7</v>
      </c>
      <c r="L493" t="n">
        <v>0</v>
      </c>
      <c r="M493" t="n">
        <v>5</v>
      </c>
      <c r="N493">
        <f>SUM(J493:M493)</f>
        <v/>
      </c>
      <c r="O493" s="4">
        <f>SUM(J493:L493)/SUM(J493:M493)</f>
        <v/>
      </c>
      <c r="P493" s="5">
        <f>MAX(J493:L493)/SUM(J493:L493)</f>
        <v/>
      </c>
    </row>
    <row r="494">
      <c r="A494" t="inlineStr">
        <is>
          <t>Segundo año</t>
        </is>
      </c>
      <c r="B494" t="inlineStr">
        <is>
          <t>Segundo periodo</t>
        </is>
      </c>
      <c r="C494" t="n">
        <v>57</v>
      </c>
      <c r="D494" t="n">
        <v>492</v>
      </c>
      <c r="E494" s="3" t="n">
        <v>46096</v>
      </c>
      <c r="F494" t="inlineStr">
        <is>
          <t>Iniciativa</t>
        </is>
      </c>
      <c r="G494" t="inlineStr">
        <is>
          <t>Dictamen con minuta de decreto por el cual se reforman y adicionan diversas disposiciones de la ley de coordinación hacendaria del estado y sus municipios</t>
        </is>
      </c>
      <c r="H494" t="n">
        <v>7</v>
      </c>
      <c r="I494" t="inlineStr">
        <is>
          <t>Impuestos, Finanzas Públicas, Patrimonio estatal y municipal</t>
        </is>
      </c>
      <c r="J494" t="n">
        <v>29</v>
      </c>
      <c r="K494" t="n">
        <v>6</v>
      </c>
      <c r="L494" t="n">
        <v>1</v>
      </c>
      <c r="M494" t="n">
        <v>5</v>
      </c>
      <c r="N494">
        <f>SUM(J494:M494)</f>
        <v/>
      </c>
      <c r="O494" s="4">
        <f>SUM(J494:L494)/SUM(J494:M494)</f>
        <v/>
      </c>
      <c r="P494" s="5">
        <f>MAX(J494:L494)/SUM(J494:L494)</f>
        <v/>
      </c>
    </row>
    <row r="495">
      <c r="A495" t="inlineStr">
        <is>
          <t>Segundo año</t>
        </is>
      </c>
      <c r="B495" t="inlineStr">
        <is>
          <t>Segundo periodo</t>
        </is>
      </c>
      <c r="C495" t="n">
        <v>58</v>
      </c>
      <c r="D495" t="n">
        <v>493</v>
      </c>
      <c r="E495" s="3" t="n">
        <v>46096</v>
      </c>
      <c r="F495" t="inlineStr">
        <is>
          <t>Iniciativa</t>
        </is>
      </c>
      <c r="G495" t="inlineStr">
        <is>
          <t>Dictamen con minuta de decreto por el cual se expide la ley de kilómetro cero del estado</t>
        </is>
      </c>
      <c r="H495" t="n">
        <v>1</v>
      </c>
      <c r="I495" t="inlineStr">
        <is>
          <t>Economía, Comercio y Competitividad</t>
        </is>
      </c>
      <c r="J495" t="n">
        <v>30</v>
      </c>
      <c r="K495" t="n">
        <v>6</v>
      </c>
      <c r="L495" t="n">
        <v>0</v>
      </c>
      <c r="M495" t="n">
        <v>5</v>
      </c>
      <c r="N495">
        <f>SUM(J495:M495)</f>
        <v/>
      </c>
      <c r="O495" s="4">
        <f>SUM(J495:L495)/SUM(J495:M495)</f>
        <v/>
      </c>
      <c r="P495" s="5">
        <f>MAX(J495:L495)/SUM(J495:L495)</f>
        <v/>
      </c>
    </row>
    <row r="496">
      <c r="A496" t="inlineStr">
        <is>
          <t>Segundo año</t>
        </is>
      </c>
      <c r="B496" t="inlineStr">
        <is>
          <t>Segundo periodo</t>
        </is>
      </c>
      <c r="C496" t="n">
        <v>59</v>
      </c>
      <c r="D496" t="n">
        <v>494</v>
      </c>
      <c r="E496" s="3" t="n">
        <v>46096</v>
      </c>
      <c r="F496" t="inlineStr">
        <is>
          <t>Iniciativa</t>
        </is>
      </c>
      <c r="G496" t="inlineStr">
        <is>
          <t>Dictamen con minuta de decreto por el cual se adicionan la fracción xxxiv bis al artículo 4, la fracción xxvi bis al 5 y la fracción viii bis al 6 de la ley para la protección del ambiente natural y el desarrollo sustentable del estado</t>
        </is>
      </c>
      <c r="H496" t="n">
        <v>5</v>
      </c>
      <c r="I496" t="inlineStr">
        <is>
          <t>Medio Ambiente</t>
        </is>
      </c>
      <c r="J496" t="n">
        <v>36</v>
      </c>
      <c r="K496" t="n">
        <v>0</v>
      </c>
      <c r="L496" t="n">
        <v>0</v>
      </c>
      <c r="M496" t="n">
        <v>5</v>
      </c>
      <c r="N496">
        <f>SUM(J496:M496)</f>
        <v/>
      </c>
      <c r="O496" s="4">
        <f>SUM(J496:L496)/SUM(J496:M496)</f>
        <v/>
      </c>
      <c r="P496" s="5">
        <f>MAX(J496:L496)/SUM(J496:L496)</f>
        <v/>
      </c>
    </row>
    <row r="497">
      <c r="A497" t="inlineStr">
        <is>
          <t>Segundo año</t>
        </is>
      </c>
      <c r="B497" t="inlineStr">
        <is>
          <t>Segundo periodo</t>
        </is>
      </c>
      <c r="C497" t="n">
        <v>60</v>
      </c>
      <c r="D497" t="n">
        <v>495</v>
      </c>
      <c r="E497" s="3" t="n">
        <v>46096</v>
      </c>
      <c r="F497" t="inlineStr">
        <is>
          <t>Iniciativa</t>
        </is>
      </c>
      <c r="G497" t="inlineStr">
        <is>
          <t>Dictamen con minuta de decreto por el cual se reforman y adicionan diversas disposiciones de la ley de bienestar animal del estado</t>
        </is>
      </c>
      <c r="H497" t="n">
        <v>5</v>
      </c>
      <c r="I497" t="inlineStr">
        <is>
          <t>Medio Ambiente</t>
        </is>
      </c>
      <c r="J497" t="n">
        <v>30</v>
      </c>
      <c r="K497" t="n">
        <v>6</v>
      </c>
      <c r="L497" t="n">
        <v>0</v>
      </c>
      <c r="M497" t="n">
        <v>5</v>
      </c>
      <c r="N497">
        <f>SUM(J497:M497)</f>
        <v/>
      </c>
      <c r="O497" s="4">
        <f>SUM(J497:L497)/SUM(J497:M497)</f>
        <v/>
      </c>
      <c r="P497" s="5">
        <f>MAX(J497:L497)/SUM(J497:L497)</f>
        <v/>
      </c>
    </row>
    <row r="498">
      <c r="A498" t="inlineStr">
        <is>
          <t>Segundo año</t>
        </is>
      </c>
      <c r="B498" t="inlineStr">
        <is>
          <t>Segundo periodo</t>
        </is>
      </c>
      <c r="C498" t="n">
        <v>61</v>
      </c>
      <c r="D498" t="n">
        <v>496</v>
      </c>
      <c r="E498" s="3" t="n">
        <v>46096</v>
      </c>
      <c r="F498" t="inlineStr">
        <is>
          <t>Iniciativa</t>
        </is>
      </c>
      <c r="G498" t="inlineStr">
        <is>
          <t>Dictamen con minuta de decreto por el cual se expide la ley orgánica del poder judicial del estado</t>
        </is>
      </c>
      <c r="H498" t="n">
        <v>14</v>
      </c>
      <c r="I498" t="inlineStr">
        <is>
          <t>Justicia y Estado de Derecho</t>
        </is>
      </c>
      <c r="J498" t="n">
        <v>29</v>
      </c>
      <c r="K498" t="n">
        <v>6</v>
      </c>
      <c r="L498" t="n">
        <v>1</v>
      </c>
      <c r="M498" t="n">
        <v>5</v>
      </c>
      <c r="N498">
        <f>SUM(J498:M498)</f>
        <v/>
      </c>
      <c r="O498" s="4">
        <f>SUM(J498:L498)/SUM(J498:M498)</f>
        <v/>
      </c>
      <c r="P498" s="5">
        <f>MAX(J498:L498)/SUM(J498:L498)</f>
        <v/>
      </c>
    </row>
    <row r="499">
      <c r="A499" t="inlineStr">
        <is>
          <t>Segundo año</t>
        </is>
      </c>
      <c r="B499" t="inlineStr">
        <is>
          <t>Segundo periodo</t>
        </is>
      </c>
      <c r="C499" t="n">
        <v>62</v>
      </c>
      <c r="D499" t="n">
        <v>497</v>
      </c>
      <c r="E499" s="3" t="n">
        <v>46096</v>
      </c>
      <c r="F499" t="inlineStr">
        <is>
          <t>Iniciativa</t>
        </is>
      </c>
      <c r="G499" t="inlineStr">
        <is>
          <t>Dictamen con minuta de decreto por el cual se expide la ley orgánica del tribunal de justicia administrativa del estado</t>
        </is>
      </c>
      <c r="H499" t="n">
        <v>14</v>
      </c>
      <c r="I499" t="inlineStr">
        <is>
          <t>Justicia y Estado de Derecho</t>
        </is>
      </c>
      <c r="J499" t="n">
        <v>30</v>
      </c>
      <c r="K499" t="n">
        <v>6</v>
      </c>
      <c r="L499" t="n">
        <v>0</v>
      </c>
      <c r="M499" t="n">
        <v>5</v>
      </c>
      <c r="N499">
        <f>SUM(J499:M499)</f>
        <v/>
      </c>
      <c r="O499" s="4">
        <f>SUM(J499:L499)/SUM(J499:M499)</f>
        <v/>
      </c>
      <c r="P499" s="5">
        <f>MAX(J499:L499)/SUM(J499:L499)</f>
        <v/>
      </c>
    </row>
    <row r="500">
      <c r="A500" t="inlineStr">
        <is>
          <t>Segundo año</t>
        </is>
      </c>
      <c r="B500" t="inlineStr">
        <is>
          <t>Segundo periodo</t>
        </is>
      </c>
      <c r="C500" t="n">
        <v>63</v>
      </c>
      <c r="D500" t="n">
        <v>498</v>
      </c>
      <c r="E500" s="3" t="n">
        <v>46096</v>
      </c>
      <c r="F500" t="inlineStr">
        <is>
          <t>Iniciativa</t>
        </is>
      </c>
      <c r="G500" t="inlineStr">
        <is>
          <t>Dictamen con minuta de decreto por el cual se expide la ley de mecanismos alternativos de solución de controversias para el estado libre y soberano</t>
        </is>
      </c>
      <c r="H500" t="n">
        <v>14</v>
      </c>
      <c r="I500" t="inlineStr">
        <is>
          <t>Justicia y Estado de Derecho</t>
        </is>
      </c>
      <c r="J500" t="n">
        <v>30</v>
      </c>
      <c r="K500" t="n">
        <v>6</v>
      </c>
      <c r="L500" t="n">
        <v>0</v>
      </c>
      <c r="M500" t="n">
        <v>5</v>
      </c>
      <c r="N500">
        <f>SUM(J500:M500)</f>
        <v/>
      </c>
      <c r="O500" s="4">
        <f>SUM(J500:L500)/SUM(J500:M500)</f>
        <v/>
      </c>
      <c r="P500" s="5">
        <f>MAX(J500:L500)/SUM(J500:L500)</f>
        <v/>
      </c>
    </row>
    <row r="501">
      <c r="A501" t="inlineStr">
        <is>
          <t>Segundo año</t>
        </is>
      </c>
      <c r="B501" t="inlineStr">
        <is>
          <t>Segundo periodo</t>
        </is>
      </c>
      <c r="C501" t="n">
        <v>64</v>
      </c>
      <c r="D501" t="n">
        <v>499</v>
      </c>
      <c r="E501" s="3" t="n">
        <v>46096</v>
      </c>
      <c r="F501" t="inlineStr">
        <is>
          <t>Iniciativa</t>
        </is>
      </c>
      <c r="G501" t="inlineStr">
        <is>
          <t>Dictamen con minuta de decreto por el cual se reforman, adicionan y derogan diversas disposiciones de la ley del procedimiento contencioso administrativo del estado</t>
        </is>
      </c>
      <c r="H501" t="n">
        <v>14</v>
      </c>
      <c r="I501" t="inlineStr">
        <is>
          <t>Justicia y Estado de Derecho</t>
        </is>
      </c>
      <c r="J501" t="n">
        <v>30</v>
      </c>
      <c r="K501" t="n">
        <v>6</v>
      </c>
      <c r="L501" t="n">
        <v>0</v>
      </c>
      <c r="M501" t="n">
        <v>5</v>
      </c>
      <c r="N501">
        <f>SUM(J501:M501)</f>
        <v/>
      </c>
      <c r="O501" s="4">
        <f>SUM(J501:L501)/SUM(J501:M501)</f>
        <v/>
      </c>
      <c r="P501" s="5">
        <f>MAX(J501:L501)/SUM(J501:L501)</f>
        <v/>
      </c>
    </row>
    <row r="502">
      <c r="A502" t="inlineStr">
        <is>
          <t>Segundo año</t>
        </is>
      </c>
      <c r="B502" t="inlineStr">
        <is>
          <t>Segundo periodo</t>
        </is>
      </c>
      <c r="C502" t="n">
        <v>65</v>
      </c>
      <c r="D502" t="n">
        <v>500</v>
      </c>
      <c r="E502" s="3" t="n">
        <v>46096</v>
      </c>
      <c r="F502" t="inlineStr">
        <is>
          <t>Iniciativa</t>
        </is>
      </c>
      <c r="G502" t="inlineStr">
        <is>
          <t>Dictamen con minuta de decreto por el cual se reforman, adicionan y derogan diversas disposiciones de la ley reglamentaria de los medios de defensa de la constitución política del estado libre y soberano</t>
        </is>
      </c>
      <c r="H502" t="n">
        <v>14</v>
      </c>
      <c r="I502" t="inlineStr">
        <is>
          <t>Justicia y Estado de Derecho</t>
        </is>
      </c>
      <c r="J502" t="n">
        <v>30</v>
      </c>
      <c r="K502" t="n">
        <v>6</v>
      </c>
      <c r="L502" t="n">
        <v>0</v>
      </c>
      <c r="M502" t="n">
        <v>5</v>
      </c>
      <c r="N502">
        <f>SUM(J502:M502)</f>
        <v/>
      </c>
      <c r="O502" s="4">
        <f>SUM(J502:L502)/SUM(J502:M502)</f>
        <v/>
      </c>
      <c r="P502" s="5">
        <f>MAX(J502:L502)/SUM(J502:L502)</f>
        <v/>
      </c>
    </row>
    <row r="503">
      <c r="A503" t="inlineStr">
        <is>
          <t>Segundo año</t>
        </is>
      </c>
      <c r="B503" t="inlineStr">
        <is>
          <t>Segundo periodo</t>
        </is>
      </c>
      <c r="C503" t="n">
        <v>66</v>
      </c>
      <c r="D503" t="n">
        <v>501</v>
      </c>
      <c r="E503" s="3" t="n">
        <v>46096</v>
      </c>
      <c r="F503" t="inlineStr">
        <is>
          <t>Iniciativa</t>
        </is>
      </c>
      <c r="G503" t="inlineStr">
        <is>
          <t>Dictamen con minuta de decreto por el cual se reforman, adicionan y derogan diversas disposiciones de la ley de carrera judicial del estado</t>
        </is>
      </c>
      <c r="H503" t="n">
        <v>14</v>
      </c>
      <c r="I503" t="inlineStr">
        <is>
          <t>Justicia y Estado de Derecho</t>
        </is>
      </c>
      <c r="J503" t="n">
        <v>29</v>
      </c>
      <c r="K503" t="n">
        <v>6</v>
      </c>
      <c r="L503" t="n">
        <v>1</v>
      </c>
      <c r="M503" t="n">
        <v>5</v>
      </c>
      <c r="N503">
        <f>SUM(J503:M503)</f>
        <v/>
      </c>
      <c r="O503" s="4">
        <f>SUM(J503:L503)/SUM(J503:M503)</f>
        <v/>
      </c>
      <c r="P503" s="5">
        <f>MAX(J503:L503)/SUM(J503:L503)</f>
        <v/>
      </c>
    </row>
    <row r="504">
      <c r="A504" t="inlineStr">
        <is>
          <t>Segundo año</t>
        </is>
      </c>
      <c r="B504" t="inlineStr">
        <is>
          <t>Segundo periodo</t>
        </is>
      </c>
      <c r="C504" t="n">
        <v>67</v>
      </c>
      <c r="D504" t="n">
        <v>502</v>
      </c>
      <c r="E504" s="3" t="n">
        <v>46096</v>
      </c>
      <c r="F504" t="inlineStr">
        <is>
          <t>Iniciativa</t>
        </is>
      </c>
      <c r="G504" t="inlineStr">
        <is>
          <t>Dictamen con minuta de decreto por el cual se reforman, adicionan y derogan diversas disposiciones de la ley orgánica de la defensoría pública del estado</t>
        </is>
      </c>
      <c r="H504" t="n">
        <v>14</v>
      </c>
      <c r="I504" t="inlineStr">
        <is>
          <t>Justicia y Estado de Derecho</t>
        </is>
      </c>
      <c r="J504" t="n">
        <v>30</v>
      </c>
      <c r="K504" t="n">
        <v>6</v>
      </c>
      <c r="L504" t="n">
        <v>0</v>
      </c>
      <c r="M504" t="n">
        <v>5</v>
      </c>
      <c r="N504">
        <f>SUM(J504:M504)</f>
        <v/>
      </c>
      <c r="O504" s="4">
        <f>SUM(J504:L504)/SUM(J504:M504)</f>
        <v/>
      </c>
      <c r="P504" s="5">
        <f>MAX(J504:L504)/SUM(J504:L504)</f>
        <v/>
      </c>
    </row>
    <row r="505">
      <c r="A505" t="inlineStr">
        <is>
          <t>Segundo año</t>
        </is>
      </c>
      <c r="B505" t="inlineStr">
        <is>
          <t>Segundo periodo</t>
        </is>
      </c>
      <c r="C505" t="n">
        <v>68</v>
      </c>
      <c r="D505" t="n">
        <v>503</v>
      </c>
      <c r="E505" s="3" t="n">
        <v>46096</v>
      </c>
      <c r="F505" t="inlineStr">
        <is>
          <t>Iniciativa</t>
        </is>
      </c>
      <c r="G505" t="inlineStr">
        <is>
          <t>Dictamen con minuta de decreto por el cual se reforman, adicionan y derogan diversas disposiciones del código penal del estado libre y soberano</t>
        </is>
      </c>
      <c r="H505" t="n">
        <v>14</v>
      </c>
      <c r="I505" t="inlineStr">
        <is>
          <t>Justicia y Estado de Derecho</t>
        </is>
      </c>
      <c r="J505" t="n">
        <v>36</v>
      </c>
      <c r="K505" t="n">
        <v>0</v>
      </c>
      <c r="L505" t="n">
        <v>0</v>
      </c>
      <c r="M505" t="n">
        <v>5</v>
      </c>
      <c r="N505">
        <f>SUM(J505:M505)</f>
        <v/>
      </c>
      <c r="O505" s="4">
        <f>SUM(J505:L505)/SUM(J505:M505)</f>
        <v/>
      </c>
      <c r="P505" s="5">
        <f>MAX(J505:L505)/SUM(J505:L505)</f>
        <v/>
      </c>
    </row>
    <row r="506">
      <c r="A506" t="inlineStr">
        <is>
          <t>Segundo año</t>
        </is>
      </c>
      <c r="B506" t="inlineStr">
        <is>
          <t>Segundo periodo</t>
        </is>
      </c>
      <c r="C506" t="n">
        <v>69</v>
      </c>
      <c r="D506" t="n">
        <v>504</v>
      </c>
      <c r="E506" s="3" t="n">
        <v>46096</v>
      </c>
      <c r="F506" t="inlineStr">
        <is>
          <t>Iniciativa</t>
        </is>
      </c>
      <c r="G506" t="inlineStr">
        <is>
          <t>Dictamen con minuta de decreto por el cual se reforman los artículos 409 y 409 bis; se adiciona el artículo 409 ter, y se deroga el segundo párrafo del artículo 408 del código penal del estado libre y soberano</t>
        </is>
      </c>
      <c r="H506" t="n">
        <v>14</v>
      </c>
      <c r="I506" t="inlineStr">
        <is>
          <t>Justicia y Estado de Derecho</t>
        </is>
      </c>
      <c r="J506" t="n">
        <v>36</v>
      </c>
      <c r="K506" t="n">
        <v>0</v>
      </c>
      <c r="L506" t="n">
        <v>0</v>
      </c>
      <c r="M506" t="n">
        <v>5</v>
      </c>
      <c r="N506">
        <f>SUM(J506:M506)</f>
        <v/>
      </c>
      <c r="O506" s="4">
        <f>SUM(J506:L506)/SUM(J506:M506)</f>
        <v/>
      </c>
      <c r="P506" s="5">
        <f>MAX(J506:L506)/SUM(J506:L506)</f>
        <v/>
      </c>
    </row>
    <row r="507">
      <c r="A507" t="inlineStr">
        <is>
          <t>Segundo año</t>
        </is>
      </c>
      <c r="B507" t="inlineStr">
        <is>
          <t>Segundo periodo</t>
        </is>
      </c>
      <c r="C507" t="n">
        <v>70</v>
      </c>
      <c r="D507" t="n">
        <v>505</v>
      </c>
      <c r="E507" s="3" t="n">
        <v>46096</v>
      </c>
      <c r="F507" t="inlineStr">
        <is>
          <t>Iniciativa</t>
        </is>
      </c>
      <c r="G507" t="inlineStr">
        <is>
          <t>Dictamen con minuta de decreto por el cual se adicionan los artículos 192 bis y 192 ter al código penal del estado libre y soberano</t>
        </is>
      </c>
      <c r="H507" t="n">
        <v>14</v>
      </c>
      <c r="I507" t="inlineStr">
        <is>
          <t>Justicia y Estado de Derecho</t>
        </is>
      </c>
      <c r="J507" t="n">
        <v>36</v>
      </c>
      <c r="K507" t="n">
        <v>0</v>
      </c>
      <c r="L507" t="n">
        <v>0</v>
      </c>
      <c r="M507" t="n">
        <v>5</v>
      </c>
      <c r="N507">
        <f>SUM(J507:M507)</f>
        <v/>
      </c>
      <c r="O507" s="4">
        <f>SUM(J507:L507)/SUM(J507:M507)</f>
        <v/>
      </c>
      <c r="P507" s="5">
        <f>MAX(J507:L507)/SUM(J507:L507)</f>
        <v/>
      </c>
    </row>
    <row r="508">
      <c r="A508" t="inlineStr">
        <is>
          <t>Segundo año</t>
        </is>
      </c>
      <c r="B508" t="inlineStr">
        <is>
          <t>Segundo periodo</t>
        </is>
      </c>
      <c r="C508" t="n">
        <v>71</v>
      </c>
      <c r="D508" t="n">
        <v>506</v>
      </c>
      <c r="E508" s="3" t="n">
        <v>46096</v>
      </c>
      <c r="F508" t="inlineStr">
        <is>
          <t>Iniciativa</t>
        </is>
      </c>
      <c r="G508" t="inlineStr">
        <is>
          <t>Dictamen con minuta de decreto por el cual se declara el 17 de mayo, como el “día del benemérito ejército de oriente”</t>
        </is>
      </c>
      <c r="H508" t="n">
        <v>8</v>
      </c>
      <c r="I508" t="inlineStr">
        <is>
          <t>Educación y Cultura</t>
        </is>
      </c>
      <c r="J508" t="n">
        <v>36</v>
      </c>
      <c r="K508" t="n">
        <v>0</v>
      </c>
      <c r="L508" t="n">
        <v>0</v>
      </c>
      <c r="M508" t="n">
        <v>5</v>
      </c>
      <c r="N508">
        <f>SUM(J508:M508)</f>
        <v/>
      </c>
      <c r="O508" s="4">
        <f>SUM(J508:L508)/SUM(J508:M508)</f>
        <v/>
      </c>
      <c r="P508" s="5">
        <f>MAX(J508:L508)/SUM(J508:L508)</f>
        <v/>
      </c>
    </row>
    <row r="509">
      <c r="A509" t="inlineStr">
        <is>
          <t>Segundo año</t>
        </is>
      </c>
      <c r="B509" t="inlineStr">
        <is>
          <t>Segundo periodo</t>
        </is>
      </c>
      <c r="C509" t="n">
        <v>72</v>
      </c>
      <c r="D509" t="n">
        <v>507</v>
      </c>
      <c r="E509" s="3" t="n">
        <v>46096</v>
      </c>
      <c r="F509" t="inlineStr">
        <is>
          <t>Iniciativa</t>
        </is>
      </c>
      <c r="G509" t="inlineStr">
        <is>
          <t>Dictamen con minuta de decreto por el cual se declara: “benemérito heroico del estado de al coronel manuel molina”</t>
        </is>
      </c>
      <c r="H509" t="n">
        <v>8</v>
      </c>
      <c r="I509" t="inlineStr">
        <is>
          <t>Educación y Cultura</t>
        </is>
      </c>
      <c r="J509" t="n">
        <v>36</v>
      </c>
      <c r="K509" t="n">
        <v>0</v>
      </c>
      <c r="L509" t="n">
        <v>0</v>
      </c>
      <c r="M509" t="n">
        <v>5</v>
      </c>
      <c r="N509">
        <f>SUM(J509:M509)</f>
        <v/>
      </c>
      <c r="O509" s="4">
        <f>SUM(J509:L509)/SUM(J509:M509)</f>
        <v/>
      </c>
      <c r="P509" s="5">
        <f>MAX(J509:L509)/SUM(J509:L509)</f>
        <v/>
      </c>
    </row>
    <row r="510">
      <c r="A510" t="inlineStr">
        <is>
          <t>Segundo año</t>
        </is>
      </c>
      <c r="B510" t="inlineStr">
        <is>
          <t>Segundo periodo</t>
        </is>
      </c>
      <c r="C510" t="n">
        <v>73</v>
      </c>
      <c r="D510" t="n">
        <v>508</v>
      </c>
      <c r="E510" s="3" t="n">
        <v>46096</v>
      </c>
      <c r="F510" t="inlineStr">
        <is>
          <t>Iniciativa</t>
        </is>
      </c>
      <c r="G510" t="inlineStr">
        <is>
          <t>Dictamen con minuta de decreto por el cual se reforman y adicionan diversas disposiciones de la ley de cultura del estado</t>
        </is>
      </c>
      <c r="H510" t="n">
        <v>8</v>
      </c>
      <c r="I510" t="inlineStr">
        <is>
          <t>Educación y Cultura</t>
        </is>
      </c>
      <c r="J510" t="n">
        <v>36</v>
      </c>
      <c r="K510" t="n">
        <v>0</v>
      </c>
      <c r="L510" t="n">
        <v>0</v>
      </c>
      <c r="M510" t="n">
        <v>5</v>
      </c>
      <c r="N510">
        <f>SUM(J510:M510)</f>
        <v/>
      </c>
      <c r="O510" s="4">
        <f>SUM(J510:L510)/SUM(J510:M510)</f>
        <v/>
      </c>
      <c r="P510" s="5">
        <f>MAX(J510:L510)/SUM(J510:L510)</f>
        <v/>
      </c>
    </row>
    <row r="511">
      <c r="A511" t="inlineStr">
        <is>
          <t>Segundo año</t>
        </is>
      </c>
      <c r="B511" t="inlineStr">
        <is>
          <t>Segundo periodo</t>
        </is>
      </c>
      <c r="C511" t="n">
        <v>74</v>
      </c>
      <c r="D511" t="n">
        <v>509</v>
      </c>
      <c r="E511" s="3" t="n">
        <v>46096</v>
      </c>
      <c r="F511" t="inlineStr">
        <is>
          <t>Iniciativa</t>
        </is>
      </c>
      <c r="G511" t="inlineStr">
        <is>
          <t>Dictamen con minuta de decreto por el cual se reforman, adicionan y derogan diversas disposiciones del código de instituciones y procesos electorales del estado</t>
        </is>
      </c>
      <c r="H511" t="n">
        <v>4</v>
      </c>
      <c r="I511" t="inlineStr">
        <is>
          <t>Partidos Políticos y Elecciones</t>
        </is>
      </c>
      <c r="J511" t="n">
        <v>29</v>
      </c>
      <c r="K511" t="n">
        <v>7</v>
      </c>
      <c r="L511" t="n">
        <v>0</v>
      </c>
      <c r="M511" t="n">
        <v>5</v>
      </c>
      <c r="N511">
        <f>SUM(J511:M511)</f>
        <v/>
      </c>
      <c r="O511" s="4">
        <f>SUM(J511:L511)/SUM(J511:M511)</f>
        <v/>
      </c>
      <c r="P511" s="5">
        <f>MAX(J511:L511)/SUM(J511:L511)</f>
        <v/>
      </c>
    </row>
    <row r="512">
      <c r="A512" t="inlineStr">
        <is>
          <t>Segundo año</t>
        </is>
      </c>
      <c r="B512" t="inlineStr">
        <is>
          <t>Segundo periodo</t>
        </is>
      </c>
      <c r="C512" t="n">
        <v>75</v>
      </c>
      <c r="D512" t="n">
        <v>510</v>
      </c>
      <c r="E512" s="3" t="n">
        <v>46096</v>
      </c>
      <c r="F512" t="inlineStr">
        <is>
          <t>Iniciativa</t>
        </is>
      </c>
      <c r="G512" t="inlineStr">
        <is>
          <t>Dictamen con minuta de decreto por el cual se reforman la fracción xv del artículo 32 y la xl del artículo 47 de la ley orgánica de la administración pública del estado</t>
        </is>
      </c>
      <c r="H512" t="n">
        <v>18</v>
      </c>
      <c r="I512" t="inlineStr">
        <is>
          <t>Administración Pública</t>
        </is>
      </c>
      <c r="J512" t="n">
        <v>29</v>
      </c>
      <c r="K512" t="n">
        <v>7</v>
      </c>
      <c r="L512" t="n">
        <v>0</v>
      </c>
      <c r="M512" t="n">
        <v>5</v>
      </c>
      <c r="N512">
        <f>SUM(J512:M512)</f>
        <v/>
      </c>
      <c r="O512" s="4">
        <f>SUM(J512:L512)/SUM(J512:M512)</f>
        <v/>
      </c>
      <c r="P512" s="5">
        <f>MAX(J512:L512)/SUM(J512:L512)</f>
        <v/>
      </c>
    </row>
    <row r="513">
      <c r="A513" t="inlineStr">
        <is>
          <t>Segundo año</t>
        </is>
      </c>
      <c r="B513" t="inlineStr">
        <is>
          <t>Segundo periodo</t>
        </is>
      </c>
      <c r="C513" t="n">
        <v>76</v>
      </c>
      <c r="D513" t="n">
        <v>511</v>
      </c>
      <c r="E513" s="3" t="n">
        <v>46096</v>
      </c>
      <c r="F513" t="inlineStr">
        <is>
          <t>Iniciativa</t>
        </is>
      </c>
      <c r="G513" t="inlineStr">
        <is>
          <t>Dictamen con minuta de decreto por el cual se reforman los artículos 1, 3, 6, el primer párrafo y los incisos a) y b) del 14, el 16, la fracción i del 28, el 46, el 47 y el 48, todos de la ley de responsabilidades de los servidores públicos del estado</t>
        </is>
      </c>
      <c r="H513" t="n">
        <v>10</v>
      </c>
      <c r="I513" t="inlineStr">
        <is>
          <t>Transparencia y Rendición de Cuentas</t>
        </is>
      </c>
      <c r="J513" t="n">
        <v>29</v>
      </c>
      <c r="K513" t="n">
        <v>6</v>
      </c>
      <c r="L513" t="n">
        <v>1</v>
      </c>
      <c r="M513" t="n">
        <v>5</v>
      </c>
      <c r="N513">
        <f>SUM(J513:M513)</f>
        <v/>
      </c>
      <c r="O513" s="4">
        <f>SUM(J513:L513)/SUM(J513:M513)</f>
        <v/>
      </c>
      <c r="P513" s="5">
        <f>MAX(J513:L513)/SUM(J513:L513)</f>
        <v/>
      </c>
    </row>
    <row r="514">
      <c r="A514" t="inlineStr">
        <is>
          <t>Segundo año</t>
        </is>
      </c>
      <c r="B514" t="inlineStr">
        <is>
          <t>Segundo periodo</t>
        </is>
      </c>
      <c r="C514" t="n">
        <v>77</v>
      </c>
      <c r="D514" t="n">
        <v>512</v>
      </c>
      <c r="E514" s="3" t="n">
        <v>46096</v>
      </c>
      <c r="F514" t="inlineStr">
        <is>
          <t>Iniciativa</t>
        </is>
      </c>
      <c r="G514" t="inlineStr">
        <is>
          <t>Dictamen con minuta de decreto por el cual se designa como presidente sustituto del concejo municipal de cuautempan, al c. miguel guadalupe morales zenteno</t>
        </is>
      </c>
      <c r="H514" t="n">
        <v>4</v>
      </c>
      <c r="I514" t="inlineStr">
        <is>
          <t>Partidos Políticos y Elecciones</t>
        </is>
      </c>
      <c r="J514" t="n">
        <v>30</v>
      </c>
      <c r="K514" t="n">
        <v>6</v>
      </c>
      <c r="L514" t="n">
        <v>0</v>
      </c>
      <c r="M514" t="n">
        <v>5</v>
      </c>
      <c r="N514">
        <f>SUM(J514:M514)</f>
        <v/>
      </c>
      <c r="O514" s="4">
        <f>SUM(J514:L514)/SUM(J514:M514)</f>
        <v/>
      </c>
      <c r="P514" s="5">
        <f>MAX(J514:L514)/SUM(J514:L514)</f>
        <v/>
      </c>
    </row>
    <row r="515">
      <c r="A515" t="inlineStr">
        <is>
          <t>Segundo año</t>
        </is>
      </c>
      <c r="B515" t="inlineStr">
        <is>
          <t>Segundo periodo</t>
        </is>
      </c>
      <c r="C515" t="n">
        <v>78</v>
      </c>
      <c r="D515" t="n">
        <v>513</v>
      </c>
      <c r="E515" s="3" t="n">
        <v>46096</v>
      </c>
      <c r="F515" t="inlineStr">
        <is>
          <t>Punto de Acuerdo</t>
        </is>
      </c>
      <c r="G515" t="inlineStr">
        <is>
          <t>Acuerdo por el que se exhorta a los poderes ejecutivo y judicial, a los organismos constitucionalmente autónomos, así como a los doscientos doce ayuntamientos y cinco concejos municipales del estado, para que en congruencia con los instrumentos internacionales y en especial con los objetivos de desarrollo sostenible (ods) de la agenda 2030, se adhieran el próximo 28 de marzo del año en curso a la campaña mundial en favor del medio ambiente denominada “la hora del planeta”, apagando durante una hora las luces de sus sedes oficiales y alternas, de 20:30 a 21:30 horas, en favor de la lucha contra los efectos nocivos causados por el cambio climático, así como para concientizar y promover una cultura de responsabilidad, cuidado y respeto de nuestro entorno</t>
        </is>
      </c>
      <c r="H515" t="n">
        <v>5</v>
      </c>
      <c r="I515" t="inlineStr">
        <is>
          <t>Medio Ambiente</t>
        </is>
      </c>
      <c r="J515" t="n">
        <v>36</v>
      </c>
      <c r="K515" t="n">
        <v>0</v>
      </c>
      <c r="L515" t="n">
        <v>0</v>
      </c>
      <c r="M515" t="n">
        <v>5</v>
      </c>
      <c r="N515">
        <f>SUM(J515:M515)</f>
        <v/>
      </c>
      <c r="O515" s="4">
        <f>SUM(J515:L515)/SUM(J515:M515)</f>
        <v/>
      </c>
      <c r="P515" s="5">
        <f>MAX(J515:L515)/SUM(J515:L515)</f>
        <v/>
      </c>
    </row>
    <row r="516">
      <c r="A516" t="inlineStr">
        <is>
          <t>Segundo año</t>
        </is>
      </c>
      <c r="B516" t="inlineStr">
        <is>
          <t>Segundo periodo</t>
        </is>
      </c>
      <c r="C516" t="n">
        <v>79</v>
      </c>
      <c r="D516" t="n">
        <v>514</v>
      </c>
      <c r="E516" s="3" t="n">
        <v>46096</v>
      </c>
      <c r="F516" t="inlineStr">
        <is>
          <t>Punto de Acuerdo</t>
        </is>
      </c>
      <c r="G516" t="inlineStr">
        <is>
          <t>Acuerdo por el que se exhorta a los doscientos doce ayuntamientos y cinco concejos municipales del estado, para que, promuevan la capacitación de su personal, incluyendo a sus elementos de seguridad pública, en materia de inclusión, derechos humanos y no discriminación; así como para que habiliten sus espacios públicos de manera que sean accesibles y cuenten con condiciones sensorialmente adecuadas, en beneficio de las personas con discapacidad, en especial de las personas con trastorno del espectro autista (tea), con el fin de garantizar su inclusión, adecuada atención, así como el respeto y la promoción de sus derechos</t>
        </is>
      </c>
      <c r="H516" t="n">
        <v>2</v>
      </c>
      <c r="I516" t="inlineStr">
        <is>
          <t>Pobreza y Política Social</t>
        </is>
      </c>
      <c r="J516" t="n">
        <v>36</v>
      </c>
      <c r="K516" t="n">
        <v>0</v>
      </c>
      <c r="L516" t="n">
        <v>0</v>
      </c>
      <c r="M516" t="n">
        <v>5</v>
      </c>
      <c r="N516">
        <f>SUM(J516:M516)</f>
        <v/>
      </c>
      <c r="O516" s="4">
        <f>SUM(J516:L516)/SUM(J516:M516)</f>
        <v/>
      </c>
      <c r="P516" s="5">
        <f>MAX(J516:L516)/SUM(J516:L516)</f>
        <v/>
      </c>
    </row>
    <row r="517">
      <c r="A517" t="inlineStr">
        <is>
          <t>Segundo año</t>
        </is>
      </c>
      <c r="B517" t="inlineStr">
        <is>
          <t>Segundo periodo</t>
        </is>
      </c>
      <c r="C517" t="n">
        <v>80</v>
      </c>
      <c r="D517" t="n">
        <v>515</v>
      </c>
      <c r="E517" s="3" t="n">
        <v>46108</v>
      </c>
      <c r="F517" t="inlineStr">
        <is>
          <t>Punto de Acuerdo</t>
        </is>
      </c>
      <c r="G517" t="inlineStr">
        <is>
          <t>Acuerdo por el cual exhorta al ayuntamiento y al organismo operador de los servicios de agua potable y alcantarillado de tehuacán, para que, en el ámbito de su competencia, implementen un programa de estímulos en el cobro del servicio de agua potable</t>
        </is>
      </c>
      <c r="H517" t="n">
        <v>1</v>
      </c>
      <c r="I517" t="inlineStr">
        <is>
          <t>Economía, Comercio y Competitividad</t>
        </is>
      </c>
      <c r="J517" t="n">
        <v>9</v>
      </c>
      <c r="K517" t="n">
        <v>0</v>
      </c>
      <c r="L517" t="n">
        <v>0</v>
      </c>
      <c r="M517" t="n">
        <v>0</v>
      </c>
      <c r="N517">
        <f>SUM(J517:M517)</f>
        <v/>
      </c>
      <c r="O517" s="4">
        <f>SUM(J517:L517)/SUM(J517:M517)</f>
        <v/>
      </c>
      <c r="P517" s="5">
        <f>MAX(J517:L517)/SUM(J517:L517)</f>
        <v/>
      </c>
    </row>
    <row r="518">
      <c r="A518" t="inlineStr">
        <is>
          <t>Segundo año</t>
        </is>
      </c>
      <c r="B518" t="inlineStr">
        <is>
          <t>Segundo periodo</t>
        </is>
      </c>
      <c r="C518" t="n">
        <v>81</v>
      </c>
      <c r="D518" t="n">
        <v>516</v>
      </c>
      <c r="E518" s="3" t="n">
        <v>46108</v>
      </c>
      <c r="F518" t="inlineStr">
        <is>
          <t>Punto de Acuerdo</t>
        </is>
      </c>
      <c r="G518" t="inlineStr">
        <is>
          <t>Acuerdo por el que se convoca a una sesión extraordinaria</t>
        </is>
      </c>
      <c r="H518" t="n">
        <v>19</v>
      </c>
      <c r="I518" t="inlineStr">
        <is>
          <t>Internos del Congreso</t>
        </is>
      </c>
      <c r="J518" t="n">
        <v>9</v>
      </c>
      <c r="K518" t="n">
        <v>0</v>
      </c>
      <c r="L518" t="n">
        <v>0</v>
      </c>
      <c r="M518" t="n">
        <v>0</v>
      </c>
      <c r="N518">
        <f>SUM(J518:M518)</f>
        <v/>
      </c>
      <c r="O518" s="4">
        <f>SUM(J518:L518)/SUM(J518:M518)</f>
        <v/>
      </c>
      <c r="P518" s="5">
        <f>MAX(J518:L518)/SUM(J518:L518)</f>
        <v/>
      </c>
    </row>
    <row r="519">
      <c r="A519" t="inlineStr">
        <is>
          <t>Segundo año</t>
        </is>
      </c>
      <c r="B519" t="inlineStr">
        <is>
          <t>Segundo periodo</t>
        </is>
      </c>
      <c r="C519" t="n">
        <v>82</v>
      </c>
      <c r="D519" t="n">
        <v>517</v>
      </c>
      <c r="E519" s="3" t="n">
        <v>46108</v>
      </c>
      <c r="F519" t="inlineStr">
        <is>
          <t>Iniciativa</t>
        </is>
      </c>
      <c r="G519" t="inlineStr">
        <is>
          <t>Dictamen con minuta Proyecto de decreto que presenta la Comisión de Gobernación y Puntos Constitucionales por el que se reforma y adiciona el artículo 127 de la Constitución Política de los Estados Unidos Mexicanos, en materia de límite a las jubilaciones y pensiones de las entidades públicas</t>
        </is>
      </c>
      <c r="H519" t="n">
        <v>7</v>
      </c>
      <c r="I519" t="inlineStr">
        <is>
          <t>Impuestos, Finanzas Públicas, Patrimonio estatal y municipal</t>
        </is>
      </c>
      <c r="J519" t="n">
        <v>37</v>
      </c>
      <c r="K519" t="n">
        <v>0</v>
      </c>
      <c r="L519" t="n">
        <v>0</v>
      </c>
      <c r="M519" t="n">
        <v>0</v>
      </c>
      <c r="N519">
        <f>SUM(J519:M519)</f>
        <v/>
      </c>
      <c r="O519" s="4">
        <f>SUM(J519:L519)/SUM(J519:M519)</f>
        <v/>
      </c>
      <c r="P519" s="5">
        <f>MAX(J519:L519)/SUM(J519:L519)</f>
        <v/>
      </c>
    </row>
    <row r="520">
      <c r="A520" t="inlineStr">
        <is>
          <t>Segundo año</t>
        </is>
      </c>
      <c r="B520" t="inlineStr">
        <is>
          <t>Segundo periodo</t>
        </is>
      </c>
      <c r="C520" t="n">
        <v>83</v>
      </c>
      <c r="D520" t="n">
        <v>518</v>
      </c>
      <c r="E520" s="3" t="n">
        <v>46121</v>
      </c>
      <c r="F520" t="inlineStr">
        <is>
          <t>Punto de Acuerdo</t>
        </is>
      </c>
      <c r="G520" t="inlineStr">
        <is>
          <t>Acuerdo por el cual exhorta a la secretaría de agricultura y desarrollo rural, a la secretaría de medio ambiente, desarrollo sustentable y ordenamiento territorial, y a la secretaría de salud, todas del estado, para que, de manera coordinada y en el ámbito de sus respectivas competencias, difundan campañas de concientización y fortalezcan la supervisión sobre el manejo y aplicación de plaguicidas, incluyendo herbicidas, en zonas de cultivo de tubérculos en la entidad, con el fin de dar a conocer sus consecuencias en la salud humana; así como para que promuevan prácticas agrícolas seguras y sustentables en beneficio del medio ambiente y de los y las poblanas</t>
        </is>
      </c>
      <c r="H520" t="n">
        <v>6</v>
      </c>
      <c r="I520" t="inlineStr">
        <is>
          <t>Salud</t>
        </is>
      </c>
      <c r="J520" t="n">
        <v>9</v>
      </c>
      <c r="K520" t="n">
        <v>0</v>
      </c>
      <c r="L520" t="n">
        <v>0</v>
      </c>
      <c r="M520" t="n">
        <v>0</v>
      </c>
      <c r="N520">
        <f>SUM(J520:M520)</f>
        <v/>
      </c>
      <c r="O520" s="4">
        <f>SUM(J520:L520)/SUM(J520:M520)</f>
        <v/>
      </c>
      <c r="P520" s="5">
        <f>MAX(J520:L520)/SUM(J520:L520)</f>
        <v/>
      </c>
    </row>
    <row r="521">
      <c r="A521" t="inlineStr">
        <is>
          <t>Segundo año</t>
        </is>
      </c>
      <c r="B521" t="inlineStr">
        <is>
          <t>Segundo periodo</t>
        </is>
      </c>
      <c r="C521" t="n">
        <v>84</v>
      </c>
      <c r="D521" t="n">
        <v>519</v>
      </c>
      <c r="E521" s="3" t="n">
        <v>46121</v>
      </c>
      <c r="F521" t="inlineStr">
        <is>
          <t>Punto de Acuerdo</t>
        </is>
      </c>
      <c r="G521" t="inlineStr">
        <is>
          <t>Acuerdo por el cual convoca a una sesión extraordinaria</t>
        </is>
      </c>
      <c r="H521" t="n">
        <v>19</v>
      </c>
      <c r="I521" t="inlineStr">
        <is>
          <t>Internos del Congreso</t>
        </is>
      </c>
      <c r="J521" t="n">
        <v>9</v>
      </c>
      <c r="K521" t="n">
        <v>0</v>
      </c>
      <c r="L521" t="n">
        <v>0</v>
      </c>
      <c r="M521" t="n">
        <v>0</v>
      </c>
      <c r="N521">
        <f>SUM(J521:M521)</f>
        <v/>
      </c>
      <c r="O521" s="4">
        <f>SUM(J521:L521)/SUM(J521:M521)</f>
        <v/>
      </c>
      <c r="P521" s="5">
        <f>MAX(J521:L521)/SUM(J521:L521)</f>
        <v/>
      </c>
    </row>
    <row r="522">
      <c r="A522" t="inlineStr">
        <is>
          <t>Segundo año</t>
        </is>
      </c>
      <c r="B522" t="inlineStr">
        <is>
          <t>Segundo periodo</t>
        </is>
      </c>
      <c r="C522" t="n">
        <v>85</v>
      </c>
      <c r="D522" t="n">
        <v>520</v>
      </c>
      <c r="E522" s="3" t="n">
        <v>46121</v>
      </c>
      <c r="F522" t="inlineStr">
        <is>
          <t>Iniciativa</t>
        </is>
      </c>
      <c r="G522" t="inlineStr">
        <is>
          <t>Dictamen con minuta Proyecto de decreto que presenta la comisión de gobernación y puntos constitucionales de la sexagésima segunda legislatura del honorable congreso del estado, por el que se reforman los artículos 115, fracción i, párrafo primero, y 116, fracción ii, párrafo segundo, y se adiciona al artículo 134, un párrafo cuarto, recorriéndose los subsecuentes en su orden, de la constitución política de los</t>
        </is>
      </c>
      <c r="H522" t="n">
        <v>18</v>
      </c>
      <c r="I522" t="inlineStr">
        <is>
          <t>Administración Pública</t>
        </is>
      </c>
      <c r="J522" t="n">
        <v>34</v>
      </c>
      <c r="K522" t="n">
        <v>6</v>
      </c>
      <c r="L522" t="n">
        <v>0</v>
      </c>
      <c r="M522" t="n">
        <v>0</v>
      </c>
      <c r="N522">
        <f>SUM(J522:M522)</f>
        <v/>
      </c>
      <c r="O522" s="4">
        <f>SUM(J522:L522)/SUM(J522:M522)</f>
        <v/>
      </c>
      <c r="P522" s="5">
        <f>MAX(J522:L522)/SUM(J522:L522)</f>
        <v/>
      </c>
    </row>
    <row r="523">
      <c r="A523" t="inlineStr">
        <is>
          <t>Segundo año</t>
        </is>
      </c>
      <c r="B523" t="inlineStr">
        <is>
          <t>Segundo periodo</t>
        </is>
      </c>
      <c r="C523" t="n">
        <v>86</v>
      </c>
      <c r="D523" t="n">
        <v>521</v>
      </c>
      <c r="E523" s="3" t="n">
        <v>46128</v>
      </c>
      <c r="F523" t="inlineStr">
        <is>
          <t>Punto de Acuerdo</t>
        </is>
      </c>
      <c r="G523" t="inlineStr">
        <is>
          <t>Acuerdo por el cual la dispensa de lectura</t>
        </is>
      </c>
      <c r="H523" t="n">
        <v>19</v>
      </c>
      <c r="I523" t="inlineStr">
        <is>
          <t>Internos del Congreso</t>
        </is>
      </c>
      <c r="J523" t="n">
        <v>8</v>
      </c>
      <c r="K523" t="n">
        <v>0</v>
      </c>
      <c r="L523" t="n">
        <v>0</v>
      </c>
      <c r="M523" t="n">
        <v>0</v>
      </c>
      <c r="N523">
        <f>SUM(J523:M523)</f>
        <v/>
      </c>
      <c r="O523" s="4">
        <f>SUM(J523:L523)/SUM(J523:M523)</f>
        <v/>
      </c>
      <c r="P523" s="5">
        <f>MAX(J523:L523)/SUM(J523:L523)</f>
        <v/>
      </c>
    </row>
    <row r="524">
      <c r="A524" t="inlineStr">
        <is>
          <t>Segundo año</t>
        </is>
      </c>
      <c r="B524" t="inlineStr">
        <is>
          <t>Segundo periodo</t>
        </is>
      </c>
      <c r="C524" t="n">
        <v>87</v>
      </c>
      <c r="D524" t="n">
        <v>522</v>
      </c>
      <c r="E524" s="3" t="n">
        <v>46128</v>
      </c>
      <c r="F524" t="inlineStr">
        <is>
          <t>Punto de Acuerdo</t>
        </is>
      </c>
      <c r="G524" t="inlineStr">
        <is>
          <t>Acuerdo por el cual aprobado su contenido</t>
        </is>
      </c>
      <c r="H524" t="n">
        <v>19</v>
      </c>
      <c r="I524" t="inlineStr">
        <is>
          <t>Internos del Congreso</t>
        </is>
      </c>
      <c r="J524" t="n">
        <v>8</v>
      </c>
      <c r="K524" t="n">
        <v>0</v>
      </c>
      <c r="L524" t="n">
        <v>0</v>
      </c>
      <c r="M524" t="n">
        <v>0</v>
      </c>
      <c r="N524">
        <f>SUM(J524:M524)</f>
        <v/>
      </c>
      <c r="O524" s="4">
        <f>SUM(J524:L524)/SUM(J524:M524)</f>
        <v/>
      </c>
      <c r="P524" s="5">
        <f>MAX(J524:L524)/SUM(J524:L524)</f>
        <v/>
      </c>
    </row>
    <row r="525">
      <c r="A525" t="inlineStr">
        <is>
          <t>Segundo año</t>
        </is>
      </c>
      <c r="B525" t="inlineStr">
        <is>
          <t>Segundo periodo</t>
        </is>
      </c>
      <c r="C525" t="n">
        <v>88</v>
      </c>
      <c r="D525" t="n">
        <v>523</v>
      </c>
      <c r="E525" s="3" t="n">
        <v>46128</v>
      </c>
      <c r="F525" t="inlineStr">
        <is>
          <t>Punto de Acuerdo</t>
        </is>
      </c>
      <c r="G525" t="inlineStr">
        <is>
          <t>Acuerdo por el cual aprobado la solicitud de retirar del orden del día el punto treinta</t>
        </is>
      </c>
      <c r="H525" t="n">
        <v>19</v>
      </c>
      <c r="I525" t="inlineStr">
        <is>
          <t>Internos del Congreso</t>
        </is>
      </c>
      <c r="J525" t="n">
        <v>8</v>
      </c>
      <c r="K525" t="n">
        <v>0</v>
      </c>
      <c r="L525" t="n">
        <v>0</v>
      </c>
      <c r="M525" t="n">
        <v>0</v>
      </c>
      <c r="N525">
        <f>SUM(J525:M525)</f>
        <v/>
      </c>
      <c r="O525" s="4">
        <f>SUM(J525:L525)/SUM(J525:M525)</f>
        <v/>
      </c>
      <c r="P525" s="5">
        <f>MAX(J525:L525)/SUM(J525:L525)</f>
        <v/>
      </c>
    </row>
    <row r="526">
      <c r="A526" t="inlineStr">
        <is>
          <t>Segundo año</t>
        </is>
      </c>
      <c r="B526" t="inlineStr">
        <is>
          <t>Segundo periodo</t>
        </is>
      </c>
      <c r="C526" t="n">
        <v>89</v>
      </c>
      <c r="D526" t="n">
        <v>524</v>
      </c>
      <c r="E526" s="3" t="n">
        <v>46135</v>
      </c>
      <c r="F526" t="inlineStr">
        <is>
          <t>Punto de Acuerdo</t>
        </is>
      </c>
      <c r="G526" t="inlineStr">
        <is>
          <t>Acuerdo por el cual exhorta a los doscientos doce ayuntamientos y cinco concejos municipales del estado, para que promuevan la capacitación y profesionalización de su personal</t>
        </is>
      </c>
      <c r="H526" t="n">
        <v>18</v>
      </c>
      <c r="I526" t="inlineStr">
        <is>
          <t>Administración Pública</t>
        </is>
      </c>
      <c r="J526" t="n">
        <v>6</v>
      </c>
      <c r="K526" t="n">
        <v>0</v>
      </c>
      <c r="L526" t="n">
        <v>0</v>
      </c>
      <c r="M526" t="n">
        <v>35</v>
      </c>
      <c r="N526">
        <f>SUM(J526:M526)</f>
        <v/>
      </c>
      <c r="O526" s="4">
        <f>SUM(J526:L526)/SUM(J526:M526)</f>
        <v/>
      </c>
      <c r="P526" s="5">
        <f>MAX(J526:L526)/SUM(J526:L526)</f>
        <v/>
      </c>
    </row>
    <row r="527">
      <c r="A527" t="inlineStr">
        <is>
          <t>Segundo año</t>
        </is>
      </c>
      <c r="B527" t="inlineStr">
        <is>
          <t>Segundo periodo</t>
        </is>
      </c>
      <c r="C527" t="n">
        <v>90</v>
      </c>
      <c r="D527" t="n">
        <v>525</v>
      </c>
      <c r="E527" s="3" t="n">
        <v>46135</v>
      </c>
      <c r="F527" t="inlineStr">
        <is>
          <t>Punto de Acuerdo</t>
        </is>
      </c>
      <c r="G527" t="inlineStr">
        <is>
          <t>Acuerdo por el cual exhorta al honorable congreso de la unión, para que, en el ámbito de su competencia y en atención a los principios constitucionales de igualdad, no discriminación, accesibilidad universal y trabajo, valoren la factibilidad de reformar la ley federal del trabajo</t>
        </is>
      </c>
      <c r="H527" t="n">
        <v>16</v>
      </c>
      <c r="I527" t="inlineStr">
        <is>
          <t>Trabajo y Previsión Social</t>
        </is>
      </c>
      <c r="J527" t="n">
        <v>6</v>
      </c>
      <c r="K527" t="n">
        <v>0</v>
      </c>
      <c r="L527" t="n">
        <v>0</v>
      </c>
      <c r="M527" t="n">
        <v>35</v>
      </c>
      <c r="N527">
        <f>SUM(J527:M527)</f>
        <v/>
      </c>
      <c r="O527" s="4">
        <f>SUM(J527:L527)/SUM(J527:M527)</f>
        <v/>
      </c>
      <c r="P527" s="5">
        <f>MAX(J527:L527)/SUM(J527:L527)</f>
        <v/>
      </c>
    </row>
    <row r="528">
      <c r="A528" t="inlineStr">
        <is>
          <t>Segundo año</t>
        </is>
      </c>
      <c r="B528" t="inlineStr">
        <is>
          <t>Segundo periodo</t>
        </is>
      </c>
      <c r="C528" t="n">
        <v>91</v>
      </c>
      <c r="D528" t="n">
        <v>526</v>
      </c>
      <c r="E528" s="3" t="n">
        <v>46135</v>
      </c>
      <c r="F528" t="inlineStr">
        <is>
          <t>Punto de Acuerdo</t>
        </is>
      </c>
      <c r="G528" t="inlineStr">
        <is>
          <t>Acuerdo por el cual exhorta a la secretaría de las mujeres, para que, en coordinación con los doscientos doce ayuntamientos y cinco concejos municipales del estado, realicen campañas de difusión y capacitación para fomentar las nuevas masculinidades</t>
        </is>
      </c>
      <c r="H528" t="n">
        <v>20</v>
      </c>
      <c r="I528" t="inlineStr">
        <is>
          <t>Justicia y Estado de Derecho en temas de Mujeres</t>
        </is>
      </c>
      <c r="J528" t="n">
        <v>6</v>
      </c>
      <c r="K528" t="n">
        <v>0</v>
      </c>
      <c r="L528" t="n">
        <v>0</v>
      </c>
      <c r="M528" t="n">
        <v>35</v>
      </c>
      <c r="N528">
        <f>SUM(J528:M528)</f>
        <v/>
      </c>
      <c r="O528" s="4">
        <f>SUM(J528:L528)/SUM(J528:M528)</f>
        <v/>
      </c>
      <c r="P528" s="5">
        <f>MAX(J528:L528)/SUM(J528:L528)</f>
        <v/>
      </c>
    </row>
    <row r="529">
      <c r="A529" t="inlineStr">
        <is>
          <t>Segundo año</t>
        </is>
      </c>
      <c r="B529" t="inlineStr">
        <is>
          <t>Segundo periodo</t>
        </is>
      </c>
      <c r="C529" t="n">
        <v>92</v>
      </c>
      <c r="D529" t="n">
        <v>527</v>
      </c>
      <c r="E529" s="3" t="n">
        <v>46135</v>
      </c>
      <c r="F529" t="inlineStr">
        <is>
          <t>Punto de Acuerdo</t>
        </is>
      </c>
      <c r="G529" t="inlineStr">
        <is>
          <t>Acuerdo por el cual exhorta a la secretaría de gobernación, para que, en coordinación con la secretaría de las mujeres, ambas del estado, implementen capacitaciones de educación financiera al interior de las casas carmen serdán</t>
        </is>
      </c>
      <c r="H529" t="n">
        <v>20</v>
      </c>
      <c r="I529" t="inlineStr">
        <is>
          <t>Justicia y Estado de Derecho en temas de Mujeres</t>
        </is>
      </c>
      <c r="J529" t="n">
        <v>7</v>
      </c>
      <c r="K529" t="n">
        <v>0</v>
      </c>
      <c r="L529" t="n">
        <v>0</v>
      </c>
      <c r="M529" t="n">
        <v>34</v>
      </c>
      <c r="N529">
        <f>SUM(J529:M529)</f>
        <v/>
      </c>
      <c r="O529" s="4">
        <f>SUM(J529:L529)/SUM(J529:M529)</f>
        <v/>
      </c>
      <c r="P529" s="5">
        <f>MAX(J529:L529)/SUM(J529:L529)</f>
        <v/>
      </c>
    </row>
    <row r="530">
      <c r="A530" t="inlineStr">
        <is>
          <t>Segundo año</t>
        </is>
      </c>
      <c r="B530" t="inlineStr">
        <is>
          <t>Segundo periodo</t>
        </is>
      </c>
      <c r="C530" t="n">
        <v>93</v>
      </c>
      <c r="D530" t="n">
        <v>528</v>
      </c>
      <c r="E530" s="3" t="n">
        <v>46135</v>
      </c>
      <c r="F530" t="inlineStr">
        <is>
          <t>Punto de Acuerdo</t>
        </is>
      </c>
      <c r="G530" t="inlineStr">
        <is>
          <t>Acuerdo por el cual convoca a una sesión extraordinaria</t>
        </is>
      </c>
      <c r="H530" t="n">
        <v>19</v>
      </c>
      <c r="I530" t="inlineStr">
        <is>
          <t>Internos del Congreso</t>
        </is>
      </c>
      <c r="J530" t="n">
        <v>9</v>
      </c>
      <c r="K530" t="n">
        <v>0</v>
      </c>
      <c r="L530" t="n">
        <v>0</v>
      </c>
      <c r="M530" t="n">
        <v>0</v>
      </c>
      <c r="N530">
        <f>SUM(J530:M530)</f>
        <v/>
      </c>
      <c r="O530" s="4">
        <f>SUM(J530:L530)/SUM(J530:M530)</f>
        <v/>
      </c>
      <c r="P530" s="5">
        <f>MAX(J530:L530)/SUM(J530:L530)</f>
        <v/>
      </c>
    </row>
    <row r="531">
      <c r="A531" t="inlineStr">
        <is>
          <t>Segundo año</t>
        </is>
      </c>
      <c r="B531" t="inlineStr">
        <is>
          <t>Segundo periodo</t>
        </is>
      </c>
      <c r="C531" t="n">
        <v>94</v>
      </c>
      <c r="D531" t="n">
        <v>529</v>
      </c>
      <c r="E531" s="3" t="n">
        <v>46135</v>
      </c>
      <c r="F531" t="inlineStr">
        <is>
          <t>Iniciativa</t>
        </is>
      </c>
      <c r="G531" t="inlineStr">
        <is>
          <t>Dictamen con minuta Proyecto de decreto que presenta la comisión de gobernación y puntos constitucionales de la sexagésima segunda legislatura del honorable congreso del estado, por el que se reforma el artículo 73, fracción xxi, inciso a), de la constitución política de los estados unidos mexicanos, en materia de feminicidio</t>
        </is>
      </c>
      <c r="H531" t="n">
        <v>20</v>
      </c>
      <c r="I531" t="inlineStr">
        <is>
          <t>Justicia y Estado de Derecho en temas de Mujeres</t>
        </is>
      </c>
      <c r="J531" t="n">
        <v>37</v>
      </c>
      <c r="K531" t="n">
        <v>0</v>
      </c>
      <c r="L531" t="n">
        <v>0</v>
      </c>
      <c r="M531" t="n">
        <v>4</v>
      </c>
      <c r="N531">
        <f>SUM(J531:M531)</f>
        <v/>
      </c>
      <c r="O531" s="4">
        <f>SUM(J531:L531)/SUM(J531:M531)</f>
        <v/>
      </c>
      <c r="P531" s="5">
        <f>MAX(J531:L531)/SUM(J531:L531)</f>
        <v/>
      </c>
    </row>
    <row r="532">
      <c r="A532" t="inlineStr">
        <is>
          <t>Segundo año</t>
        </is>
      </c>
      <c r="B532" t="inlineStr">
        <is>
          <t>Segundo periodo</t>
        </is>
      </c>
      <c r="C532" t="n">
        <v>95</v>
      </c>
      <c r="D532" t="n">
        <v>530</v>
      </c>
      <c r="E532" s="3" t="n">
        <v>46142</v>
      </c>
      <c r="F532" t="inlineStr">
        <is>
          <t>Punto de Acuerdo</t>
        </is>
      </c>
      <c r="G532" t="inlineStr">
        <is>
          <t>Acuerdo por el cual se exhorta a la Secretaría de Infraestructura, Comunicaciones y Transportes, delegación Tlaxcala, y a la Secretaría de Movilidad y Transporte del Estado, para que, de manera coordinada y en el ámbito de sus respectivas competencias, implementen operativos de supervisión, verificación y, en su caso, sanción de las empresas que ostentando permisos turísticos estatales o placas federales, presten servicios interurbanos sin la autorización legal correspondiente</t>
        </is>
      </c>
      <c r="H532" t="n">
        <v>11</v>
      </c>
      <c r="I532" t="inlineStr">
        <is>
          <t>Infraestructura, Movilidad y Transporte</t>
        </is>
      </c>
      <c r="J532" t="n">
        <v>7</v>
      </c>
      <c r="K532" t="n">
        <v>0</v>
      </c>
      <c r="L532" t="n">
        <v>0</v>
      </c>
      <c r="M532" t="n">
        <v>34</v>
      </c>
      <c r="N532">
        <f>SUM(J532:M532)</f>
        <v/>
      </c>
      <c r="O532" s="4">
        <f>SUM(J532:L532)/SUM(J532:M532)</f>
        <v/>
      </c>
      <c r="P532" s="5">
        <f>MAX(J532:L532)/SUM(J532:L532)</f>
        <v/>
      </c>
    </row>
    <row r="533">
      <c r="A533" t="inlineStr">
        <is>
          <t>Segundo año</t>
        </is>
      </c>
      <c r="B533" t="inlineStr">
        <is>
          <t>Segundo periodo</t>
        </is>
      </c>
      <c r="C533" t="n">
        <v>96</v>
      </c>
      <c r="D533" t="n">
        <v>531</v>
      </c>
      <c r="E533" s="3" t="n">
        <v>46142</v>
      </c>
      <c r="F533" t="inlineStr">
        <is>
          <t>Punto de Acuerdo</t>
        </is>
      </c>
      <c r="G533" t="inlineStr">
        <is>
          <t>Acuerdo por el cual se exhorta a los doscientos doce ayuntamientos y cinco concejos municipales del Estado, para que, durante la ejecución de operativos o retenes de revisión que impliquen el arrastre de motocicletas, el cobro del servicio de grúa se realice en proporción al número de unidades trasladadas en una misma plataforma, evitando cobros individuales indebidos cuando el traslado sea conjunto</t>
        </is>
      </c>
      <c r="H533" t="n">
        <v>11</v>
      </c>
      <c r="I533" t="inlineStr">
        <is>
          <t>Infraestructura, Movilidad y Transporte</t>
        </is>
      </c>
      <c r="J533" t="n">
        <v>7</v>
      </c>
      <c r="K533" t="n">
        <v>0</v>
      </c>
      <c r="L533" t="n">
        <v>0</v>
      </c>
      <c r="M533" t="n">
        <v>34</v>
      </c>
      <c r="N533">
        <f>SUM(J533:M533)</f>
        <v/>
      </c>
      <c r="O533" s="4">
        <f>SUM(J533:L533)/SUM(J533:M533)</f>
        <v/>
      </c>
      <c r="P533" s="5">
        <f>MAX(J533:L533)/SUM(J533:L533)</f>
        <v/>
      </c>
    </row>
    <row r="534">
      <c r="A534" t="inlineStr">
        <is>
          <t>Segundo año</t>
        </is>
      </c>
      <c r="B534" t="inlineStr">
        <is>
          <t>Segundo periodo</t>
        </is>
      </c>
      <c r="C534" t="n">
        <v>97</v>
      </c>
      <c r="D534" t="n">
        <v>532</v>
      </c>
      <c r="E534" s="3" t="n">
        <v>46142</v>
      </c>
      <c r="F534" t="inlineStr">
        <is>
          <t>Punto de Acuerdo</t>
        </is>
      </c>
      <c r="G534" t="inlineStr">
        <is>
          <t>Acuerdo por el cual se exhorta a los doscientos doce ayuntamientos y cinco concejos municipales del Estado, para que, en el ámbito de su competencia promuevan y, en su caso, faciliten la contratación de personas en situación de vulnerabilidad en los ámbitos público, privado y social, con el fin de impulsar el bienestar y lograr el pleno goce y ejercicio de los derechos humanos de estos sectores</t>
        </is>
      </c>
      <c r="H534" t="n">
        <v>2</v>
      </c>
      <c r="I534" t="inlineStr">
        <is>
          <t>Pobreza y Política Social</t>
        </is>
      </c>
      <c r="J534" t="n">
        <v>7</v>
      </c>
      <c r="K534" t="n">
        <v>0</v>
      </c>
      <c r="L534" t="n">
        <v>0</v>
      </c>
      <c r="M534" t="n">
        <v>34</v>
      </c>
      <c r="N534">
        <f>SUM(J534:M534)</f>
        <v/>
      </c>
      <c r="O534" s="4">
        <f>SUM(J534:L534)/SUM(J534:M534)</f>
        <v/>
      </c>
      <c r="P534" s="5">
        <f>MAX(J534:L534)/SUM(J534:L534)</f>
        <v/>
      </c>
    </row>
    <row r="535">
      <c r="A535" t="inlineStr">
        <is>
          <t>Segundo año</t>
        </is>
      </c>
      <c r="B535" t="inlineStr">
        <is>
          <t>Segundo periodo</t>
        </is>
      </c>
      <c r="C535" t="n">
        <v>98</v>
      </c>
      <c r="D535" t="n">
        <v>533</v>
      </c>
      <c r="E535" s="3" t="n">
        <v>46142</v>
      </c>
      <c r="F535" t="inlineStr">
        <is>
          <t>Punto de Acuerdo</t>
        </is>
      </c>
      <c r="G535" t="inlineStr">
        <is>
          <t>Acuerdo por el cual se exhorta a los doscientos doce ayuntamientos y cinco concejos municipales del Estado, para que, en el ámbito de su competencia emitan y cumplan las órdenes de protección en términos de la legislación aplicable, así como para que se coordinen, de ser necesario, con las instancias federales y estatales correspondientes, a fin de garantizar su monitoreo, cumplimiento y ejecución en favor de las niñas, niños, adolescentes y mujeres víctimas de violencia</t>
        </is>
      </c>
      <c r="H535" t="n">
        <v>20</v>
      </c>
      <c r="I535" t="inlineStr">
        <is>
          <t>Justicia y Estado de Derecho en temas de Mujeres</t>
        </is>
      </c>
      <c r="J535" t="n">
        <v>7</v>
      </c>
      <c r="K535" t="n">
        <v>0</v>
      </c>
      <c r="L535" t="n">
        <v>0</v>
      </c>
      <c r="M535" t="n">
        <v>34</v>
      </c>
      <c r="N535">
        <f>SUM(J535:M535)</f>
        <v/>
      </c>
      <c r="O535" s="4">
        <f>SUM(J535:L535)/SUM(J535:M535)</f>
        <v/>
      </c>
      <c r="P535" s="5">
        <f>MAX(J535:L535)/SUM(J535:L535)</f>
        <v/>
      </c>
    </row>
    <row r="536">
      <c r="A536" t="inlineStr">
        <is>
          <t>Segundo año</t>
        </is>
      </c>
      <c r="B536" t="inlineStr">
        <is>
          <t>Segundo periodo</t>
        </is>
      </c>
      <c r="C536" t="n">
        <v>99</v>
      </c>
      <c r="D536" t="n">
        <v>534</v>
      </c>
      <c r="E536" s="3" t="n">
        <v>46142</v>
      </c>
      <c r="F536" t="inlineStr">
        <is>
          <t>Punto de Acuerdo</t>
        </is>
      </c>
      <c r="G536" t="inlineStr">
        <is>
          <t>Acuerdo por el cual se exhorta a los doscientos doce ayuntamientos y cinco concejos municipales del Estado, para que, en apego a la Ley Nacional para Eliminar Trámites Burocráticos, agilicen, digitalicen y simplifiquen los trámites administrativos a su cargo, con especial atención a los relacionados con la apertura, regularización y operación de establecimientos comerciales, industriales y de servicios, con el fin de impulsar la economía local, incentivar la inversión, generar empleos y fortalecer la competitividad, entre otros resolutivos</t>
        </is>
      </c>
      <c r="H536" t="n">
        <v>1</v>
      </c>
      <c r="I536" t="inlineStr">
        <is>
          <t>Economía, Comercio y Competitividad</t>
        </is>
      </c>
      <c r="J536" t="n">
        <v>7</v>
      </c>
      <c r="K536" t="n">
        <v>0</v>
      </c>
      <c r="L536" t="n">
        <v>0</v>
      </c>
      <c r="M536" t="n">
        <v>34</v>
      </c>
      <c r="N536">
        <f>SUM(J536:M536)</f>
        <v/>
      </c>
      <c r="O536" s="4">
        <f>SUM(J536:L536)/SUM(J536:M536)</f>
        <v/>
      </c>
      <c r="P536" s="5">
        <f>MAX(J536:L536)/SUM(J536:L536)</f>
        <v/>
      </c>
    </row>
    <row r="537">
      <c r="A537" t="inlineStr">
        <is>
          <t>Segundo año</t>
        </is>
      </c>
      <c r="B537" t="inlineStr">
        <is>
          <t>Segundo periodo</t>
        </is>
      </c>
      <c r="C537" t="n">
        <v>100</v>
      </c>
      <c r="D537" t="n">
        <v>535</v>
      </c>
      <c r="E537" s="3" t="n">
        <v>46142</v>
      </c>
      <c r="F537" t="inlineStr">
        <is>
          <t>Punto de Acuerdo</t>
        </is>
      </c>
      <c r="G537" t="inlineStr">
        <is>
          <t>Acuerdo por el cual se exhorta a la Fiscalía General del Estado, para que, en la investigación de los hechos con apariencia de delito cometidos en contra de las personas de la diversidad sexual y de género, implementen el Protocolo Homologado de investigación de delitos cometidos contra personas LGBTTTI+</t>
        </is>
      </c>
      <c r="H537" t="n">
        <v>14</v>
      </c>
      <c r="I537" t="inlineStr">
        <is>
          <t>Justicia y Estado de Derecho</t>
        </is>
      </c>
      <c r="J537" t="n">
        <v>9</v>
      </c>
      <c r="K537" t="n">
        <v>0</v>
      </c>
      <c r="L537" t="n">
        <v>0</v>
      </c>
      <c r="M537" t="n">
        <v>0</v>
      </c>
      <c r="N537">
        <f>SUM(J537:M537)</f>
        <v/>
      </c>
      <c r="O537" s="4">
        <f>SUM(J537:L537)/SUM(J537:M537)</f>
        <v/>
      </c>
      <c r="P537" s="5">
        <f>MAX(J537:L537)/SUM(J537:L537)</f>
        <v/>
      </c>
    </row>
    <row r="538">
      <c r="A538" t="inlineStr">
        <is>
          <t>Segundo año</t>
        </is>
      </c>
      <c r="B538" t="inlineStr">
        <is>
          <t>Segundo periodo</t>
        </is>
      </c>
      <c r="C538" t="n">
        <v>101</v>
      </c>
      <c r="D538" t="n">
        <v>536</v>
      </c>
      <c r="E538" s="3" t="n">
        <v>46142</v>
      </c>
      <c r="F538" t="inlineStr">
        <is>
          <t>Punto de Acuerdo</t>
        </is>
      </c>
      <c r="G538" t="inlineStr">
        <is>
          <t>Acuerdo por el cual se exhorta al Consejo de la Judicatura del Poder Judicial del Estado, para que, ejecute las acciones administrativas, de infraestructura y equipamiento tecnológico necesarias para fortalecer, garantizar y ampliar la adecuada implementación del sistema de oralidad en los procedimientos en materia civil y familiar en el Estado, conforme a lo dispuesto dentro del Código Nacional de Procedimientos Civiles y Familiares y priorizando las regiones con altos índices de marginación, dispersión poblacional y que impliquen mayores tiempos de traslado, para garantizar el acceso efectivo a la justicia a los y las poblanas</t>
        </is>
      </c>
      <c r="H538" t="n">
        <v>14</v>
      </c>
      <c r="I538" t="inlineStr">
        <is>
          <t>Justicia y Estado de Derecho</t>
        </is>
      </c>
      <c r="J538" t="n">
        <v>9</v>
      </c>
      <c r="K538" t="n">
        <v>0</v>
      </c>
      <c r="L538" t="n">
        <v>0</v>
      </c>
      <c r="M538" t="n">
        <v>0</v>
      </c>
      <c r="N538">
        <f>SUM(J538:M538)</f>
        <v/>
      </c>
      <c r="O538" s="4">
        <f>SUM(J538:L538)/SUM(J538:M538)</f>
        <v/>
      </c>
      <c r="P538" s="5">
        <f>MAX(J538:L538)/SUM(J538:L538)</f>
        <v/>
      </c>
    </row>
    <row r="539">
      <c r="A539" t="inlineStr">
        <is>
          <t>Segundo año</t>
        </is>
      </c>
      <c r="B539" t="inlineStr">
        <is>
          <t>Segundo periodo</t>
        </is>
      </c>
      <c r="C539" t="n">
        <v>102</v>
      </c>
      <c r="D539" t="n">
        <v>537</v>
      </c>
      <c r="E539" s="3" t="n">
        <v>46142</v>
      </c>
      <c r="F539" t="inlineStr">
        <is>
          <t>Punto de Acuerdo</t>
        </is>
      </c>
      <c r="G539" t="inlineStr">
        <is>
          <t>Acuerdo por el cual se exhorta a la Fiscalía General del Estado y a la Secretaría Anticorrupción y Buen Gobierno, para que, de manera coordinada con los doscientos doce ayuntamientos y cinco concejos municipales de la entidad, fortalezcan la difusión de los mecanismos de denuncia y presentación de quejas ante la supuesta comisión de delitos y de faltas administrativas, como la plataforma ProIntegridad; así como sobre las consecuencias de su comisión, con el fin de prevenirlas y sancionarlas conforme a derecho, entre otro resolutivo</t>
        </is>
      </c>
      <c r="H539" t="n">
        <v>10</v>
      </c>
      <c r="I539" t="inlineStr">
        <is>
          <t>Transparencia y Rendición de Cuentas</t>
        </is>
      </c>
      <c r="J539" t="n">
        <v>9</v>
      </c>
      <c r="K539" t="n">
        <v>0</v>
      </c>
      <c r="L539" t="n">
        <v>0</v>
      </c>
      <c r="M539" t="n">
        <v>0</v>
      </c>
      <c r="N539">
        <f>SUM(J539:M539)</f>
        <v/>
      </c>
      <c r="O539" s="4">
        <f>SUM(J539:L539)/SUM(J539:M539)</f>
        <v/>
      </c>
      <c r="P539" s="5">
        <f>MAX(J539:L539)/SUM(J539:L539)</f>
        <v/>
      </c>
    </row>
    <row r="540">
      <c r="A540" t="inlineStr">
        <is>
          <t>Segundo año</t>
        </is>
      </c>
      <c r="B540" t="inlineStr">
        <is>
          <t>Segundo periodo</t>
        </is>
      </c>
      <c r="C540" t="n">
        <v>103</v>
      </c>
      <c r="D540" t="n">
        <v>538</v>
      </c>
      <c r="E540" s="3" t="n">
        <v>46142</v>
      </c>
      <c r="F540" t="inlineStr">
        <is>
          <t>Punto de Acuerdo</t>
        </is>
      </c>
      <c r="G540" t="inlineStr">
        <is>
          <t>Acuerdo por el cual se exhorta al Instituto Poblano de los Pueblos Indígenas, para que, en coordinación con la Secretaría de Ciencia, Humanidades, Tecnología e Innovación y la Secretaría de Educación Pública, ambas del Estado, así como con los doscientos doce ayuntamientos y cinco concejos municipales de la entidad, en el ámbito de su respectiva competencia diseñen e implementen acciones sociales y educativas para el rescate, conservación, investigación, enseñanza, difusión y revitalización de las lenguas indígenas, haciendo uso, para el efecto, de las tecnologías de la información y la comunicación, priorizando las regiones con habla indígena del Estado</t>
        </is>
      </c>
      <c r="H540" t="n">
        <v>8</v>
      </c>
      <c r="I540" t="inlineStr">
        <is>
          <t>Educación y Cultura</t>
        </is>
      </c>
      <c r="J540" t="n">
        <v>9</v>
      </c>
      <c r="K540" t="n">
        <v>0</v>
      </c>
      <c r="L540" t="n">
        <v>0</v>
      </c>
      <c r="M540" t="n">
        <v>0</v>
      </c>
      <c r="N540">
        <f>SUM(J540:M540)</f>
        <v/>
      </c>
      <c r="O540" s="4">
        <f>SUM(J540:L540)/SUM(J540:M540)</f>
        <v/>
      </c>
      <c r="P540" s="5">
        <f>MAX(J540:L540)/SUM(J540:L540)</f>
        <v/>
      </c>
    </row>
    <row r="541">
      <c r="A541" t="inlineStr">
        <is>
          <t>Segundo año</t>
        </is>
      </c>
      <c r="B541" t="inlineStr">
        <is>
          <t>Segundo periodo</t>
        </is>
      </c>
      <c r="C541" t="n">
        <v>104</v>
      </c>
      <c r="D541" t="n">
        <v>539</v>
      </c>
      <c r="E541" s="3" t="n">
        <v>46142</v>
      </c>
      <c r="F541" t="inlineStr">
        <is>
          <t>Punto de Acuerdo</t>
        </is>
      </c>
      <c r="G541" t="inlineStr">
        <is>
          <t>Acuerdo por el cual se exhorta al Instituto Poblano de los Pueblos Indígenas, para que fortalezca y formalice los mecanismos de coordinación institucional con los municipios denominados o con presencia indígena de la entidad, así como con las dependencias y entidades de la administración pública del Estado, con el fin de incorporar y/o fortalecer el enfoque de los derechos de los pueblos y comunidades indígenas y afromexicanas en el diseño, planeación e implementación de acciones gubernamentales</t>
        </is>
      </c>
      <c r="H541" t="n">
        <v>2</v>
      </c>
      <c r="I541" t="inlineStr">
        <is>
          <t>Pobreza y Política Social</t>
        </is>
      </c>
      <c r="J541" t="n">
        <v>9</v>
      </c>
      <c r="K541" t="n">
        <v>0</v>
      </c>
      <c r="L541" t="n">
        <v>0</v>
      </c>
      <c r="M541" t="n">
        <v>0</v>
      </c>
      <c r="N541">
        <f>SUM(J541:M541)</f>
        <v/>
      </c>
      <c r="O541" s="4">
        <f>SUM(J541:L541)/SUM(J541:M541)</f>
        <v/>
      </c>
      <c r="P541" s="5">
        <f>MAX(J541:L541)/SUM(J541:L541)</f>
        <v/>
      </c>
    </row>
    <row r="542">
      <c r="A542" t="inlineStr">
        <is>
          <t>Segundo año</t>
        </is>
      </c>
      <c r="B542" t="inlineStr">
        <is>
          <t>Segundo periodo</t>
        </is>
      </c>
      <c r="C542" t="n">
        <v>105</v>
      </c>
      <c r="D542" t="n">
        <v>540</v>
      </c>
      <c r="E542" s="3" t="n">
        <v>46142</v>
      </c>
      <c r="F542" t="inlineStr">
        <is>
          <t>Punto de Acuerdo</t>
        </is>
      </c>
      <c r="G542" t="inlineStr">
        <is>
          <t>Acuerdo por el cual se exhorta a la Secretaría de Agricultura y Desarrollo Rural, para que, en coordinación con los doscientos doce ayuntamientos y cinco concejos municipales del Estado, y en el ámbito de su competencia, difundan las reglas de operación y simplifiquen el acceso a los beneficios del programa para la prevención y atención de contingencias agropecuarias; así como para que realicen las acciones que estimen pertinentes para prevenir y mitigar los riesgos de pérdida de cosechas ante siniestros y contingencias agroclimáticas, en beneficio de los productores y las productoras rurales del Estado</t>
        </is>
      </c>
      <c r="H542" t="n">
        <v>12</v>
      </c>
      <c r="I542" t="inlineStr">
        <is>
          <t>Agricultura, Ganadería y Pesca</t>
        </is>
      </c>
      <c r="J542" t="n">
        <v>9</v>
      </c>
      <c r="K542" t="n">
        <v>0</v>
      </c>
      <c r="L542" t="n">
        <v>0</v>
      </c>
      <c r="M542" t="n">
        <v>0</v>
      </c>
      <c r="N542">
        <f>SUM(J542:M542)</f>
        <v/>
      </c>
      <c r="O542" s="4">
        <f>SUM(J542:L542)/SUM(J542:M542)</f>
        <v/>
      </c>
      <c r="P542" s="5">
        <f>MAX(J542:L542)/SUM(J542:L542)</f>
        <v/>
      </c>
    </row>
    <row r="543">
      <c r="A543" t="inlineStr">
        <is>
          <t>Segundo año</t>
        </is>
      </c>
      <c r="B543" t="inlineStr">
        <is>
          <t>Segundo periodo</t>
        </is>
      </c>
      <c r="C543" t="n">
        <v>106</v>
      </c>
      <c r="D543" t="n">
        <v>541</v>
      </c>
      <c r="E543" s="3" t="n">
        <v>46142</v>
      </c>
      <c r="F543" t="inlineStr">
        <is>
          <t>Punto de Acuerdo</t>
        </is>
      </c>
      <c r="G543" t="inlineStr">
        <is>
          <t>Acuerdo por el cual se exhorta a la Secretaría de Agricultura y Desarrollo Rural del Estado, para que, consolide la estrategia para la preservación, producción y desarrollo sustentable del maguey pulquero, considerando para tales fines un diagnóstico estatal que identifique las zonas productoras; la capacitación, acompañamiento técnico y la asistencia especializada de productoras y productores; así como el reforzamiento de la cadena productiva en beneficio del campo poblano</t>
        </is>
      </c>
      <c r="H543" t="n">
        <v>12</v>
      </c>
      <c r="I543" t="inlineStr">
        <is>
          <t>Agricultura, Ganadería y Pesca</t>
        </is>
      </c>
      <c r="J543" t="n">
        <v>9</v>
      </c>
      <c r="K543" t="n">
        <v>0</v>
      </c>
      <c r="L543" t="n">
        <v>0</v>
      </c>
      <c r="M543" t="n">
        <v>0</v>
      </c>
      <c r="N543">
        <f>SUM(J543:M543)</f>
        <v/>
      </c>
      <c r="O543" s="4">
        <f>SUM(J543:L543)/SUM(J543:M543)</f>
        <v/>
      </c>
      <c r="P543" s="5">
        <f>MAX(J543:L543)/SUM(J543:L543)</f>
        <v/>
      </c>
    </row>
    <row r="544">
      <c r="A544" t="inlineStr">
        <is>
          <t>Segundo año</t>
        </is>
      </c>
      <c r="B544" t="inlineStr">
        <is>
          <t>Segundo periodo</t>
        </is>
      </c>
      <c r="C544" t="n">
        <v>107</v>
      </c>
      <c r="D544" t="n">
        <v>542</v>
      </c>
      <c r="E544" s="3" t="n">
        <v>46142</v>
      </c>
      <c r="F544" t="inlineStr">
        <is>
          <t>Punto de Acuerdo</t>
        </is>
      </c>
      <c r="G544" t="inlineStr">
        <is>
          <t>Acuerdo por el cual se desechó por mayoría de votos la solicitud de dispensa de trámite de un punto de acuerdo</t>
        </is>
      </c>
      <c r="H544" t="n">
        <v>19</v>
      </c>
      <c r="I544" t="inlineStr">
        <is>
          <t>Internos del Congreso</t>
        </is>
      </c>
      <c r="J544" t="n">
        <v>0</v>
      </c>
      <c r="K544" t="n">
        <v>9</v>
      </c>
      <c r="L544" t="n">
        <v>0</v>
      </c>
      <c r="M544" t="n">
        <v>0</v>
      </c>
      <c r="N544">
        <f>SUM(J544:M544)</f>
        <v/>
      </c>
      <c r="O544" s="4">
        <f>SUM(J544:L544)/SUM(J544:M544)</f>
        <v/>
      </c>
      <c r="P544" s="5">
        <f>MAX(J544:L544)/SUM(J544:L544)</f>
        <v/>
      </c>
    </row>
    <row r="545">
      <c r="A545" t="inlineStr">
        <is>
          <t>Segundo año</t>
        </is>
      </c>
      <c r="B545" t="inlineStr">
        <is>
          <t>Tercer periodo</t>
        </is>
      </c>
      <c r="C545" t="n">
        <v>1</v>
      </c>
      <c r="D545" t="n">
        <v>543</v>
      </c>
      <c r="E545" s="3" t="n">
        <v>46157</v>
      </c>
      <c r="F545" t="inlineStr">
        <is>
          <t>Iniciativa</t>
        </is>
      </c>
      <c r="G545" t="inlineStr">
        <is>
          <t>Dictamen con minuta de decreto por el cual se reforman y adicionan diversas disposiciones de la ley para el acceso de las mujeres a una vida libre de violencia del estado de ; y de la ley de los derechos de las niñas, niños y adolescentes del estado de</t>
        </is>
      </c>
      <c r="H545" t="n">
        <v>20</v>
      </c>
      <c r="I545" t="inlineStr">
        <is>
          <t>Justicia y Estado de Derecho en temas de Mujeres</t>
        </is>
      </c>
      <c r="J545" t="n">
        <v>37</v>
      </c>
      <c r="K545" t="n">
        <v>0</v>
      </c>
      <c r="L545" t="n">
        <v>0</v>
      </c>
      <c r="M545" t="n">
        <v>4</v>
      </c>
      <c r="N545">
        <f>SUM(J545:M545)</f>
        <v/>
      </c>
      <c r="O545" s="4">
        <f>SUM(J545:L545)/SUM(J545:M545)</f>
        <v/>
      </c>
      <c r="P545" s="5">
        <f>MAX(J545:L545)/SUM(J545:L545)</f>
        <v/>
      </c>
    </row>
    <row r="546">
      <c r="A546" t="inlineStr">
        <is>
          <t>Segundo año</t>
        </is>
      </c>
      <c r="B546" t="inlineStr">
        <is>
          <t>Tercer periodo</t>
        </is>
      </c>
      <c r="C546" t="n">
        <v>2</v>
      </c>
      <c r="D546" t="n">
        <v>544</v>
      </c>
      <c r="E546" s="3" t="n">
        <v>46157</v>
      </c>
      <c r="F546" t="inlineStr">
        <is>
          <t>Iniciativa</t>
        </is>
      </c>
      <c r="G546" t="inlineStr">
        <is>
          <t>Dictamen con minuta de decreto por el cual se reforma el primer párrafo del artículo 2, la fracción xiii del artículo 4 y el primer párrafo del artículo 7 ter de la ley para la igualdad entre mujeres y hombres del estado de</t>
        </is>
      </c>
      <c r="H546" t="n">
        <v>20</v>
      </c>
      <c r="I546" t="inlineStr">
        <is>
          <t>Justicia y Estado de Derecho en temas de Mujeres</t>
        </is>
      </c>
      <c r="J546" t="n">
        <v>34</v>
      </c>
      <c r="K546" t="n">
        <v>0</v>
      </c>
      <c r="L546" t="n">
        <v>5</v>
      </c>
      <c r="M546" t="n">
        <v>2</v>
      </c>
      <c r="N546">
        <f>SUM(J546:M546)</f>
        <v/>
      </c>
      <c r="O546" s="4">
        <f>SUM(J546:L546)/SUM(J546:M546)</f>
        <v/>
      </c>
      <c r="P546" s="5">
        <f>MAX(J546:L546)/SUM(J546:L546)</f>
        <v/>
      </c>
    </row>
    <row r="547">
      <c r="A547" t="inlineStr">
        <is>
          <t>Segundo año</t>
        </is>
      </c>
      <c r="B547" t="inlineStr">
        <is>
          <t>Tercer periodo</t>
        </is>
      </c>
      <c r="C547" t="n">
        <v>3</v>
      </c>
      <c r="D547" t="n">
        <v>545</v>
      </c>
      <c r="E547" s="3" t="n">
        <v>46157</v>
      </c>
      <c r="F547" t="inlineStr">
        <is>
          <t>Iniciativa</t>
        </is>
      </c>
      <c r="G547" t="inlineStr">
        <is>
          <t>Dictamen con minuta de decreto por el cual se reforman las fracciones xxxix y xl del artículo 6 bis y se adiciona la fracción xli al artículo 6 bis de la ley para prevenir y eliminar la discriminación del estado libre y soberano de</t>
        </is>
      </c>
      <c r="H547" t="n">
        <v>14</v>
      </c>
      <c r="I547" t="inlineStr">
        <is>
          <t>Justicia y Estado de Derecho</t>
        </is>
      </c>
      <c r="J547" t="n">
        <v>34</v>
      </c>
      <c r="K547" t="n">
        <v>0</v>
      </c>
      <c r="L547" t="n">
        <v>5</v>
      </c>
      <c r="M547" t="n">
        <v>2</v>
      </c>
      <c r="N547">
        <f>SUM(J547:M547)</f>
        <v/>
      </c>
      <c r="O547" s="4">
        <f>SUM(J547:L547)/SUM(J547:M547)</f>
        <v/>
      </c>
      <c r="P547" s="5">
        <f>MAX(J547:L547)/SUM(J547:L547)</f>
        <v/>
      </c>
    </row>
    <row r="548">
      <c r="A548" t="inlineStr">
        <is>
          <t>Segundo año</t>
        </is>
      </c>
      <c r="B548" t="inlineStr">
        <is>
          <t>Tercer periodo</t>
        </is>
      </c>
      <c r="C548" t="n">
        <v>4</v>
      </c>
      <c r="D548" t="n">
        <v>546</v>
      </c>
      <c r="E548" s="3" t="n">
        <v>46157</v>
      </c>
      <c r="F548" t="inlineStr">
        <is>
          <t>Iniciativa</t>
        </is>
      </c>
      <c r="G548" t="inlineStr">
        <is>
          <t>Dictamen con minuta de decreto por el cual se adiciona la fracción iii bis al artículo 4 de la ley para prevenir y eliminar la discriminación del estado libre y soberano de</t>
        </is>
      </c>
      <c r="H548" t="n">
        <v>14</v>
      </c>
      <c r="I548" t="inlineStr">
        <is>
          <t>Justicia y Estado de Derecho</t>
        </is>
      </c>
      <c r="J548" t="n">
        <v>40</v>
      </c>
      <c r="K548" t="n">
        <v>0</v>
      </c>
      <c r="L548" t="n">
        <v>0</v>
      </c>
      <c r="M548" t="n">
        <v>1</v>
      </c>
      <c r="N548">
        <f>SUM(J548:M548)</f>
        <v/>
      </c>
      <c r="O548" s="4">
        <f>SUM(J548:L548)/SUM(J548:M548)</f>
        <v/>
      </c>
      <c r="P548" s="5">
        <f>MAX(J548:L548)/SUM(J548:L548)</f>
        <v/>
      </c>
    </row>
    <row r="549">
      <c r="A549" t="inlineStr">
        <is>
          <t>Segundo año</t>
        </is>
      </c>
      <c r="B549" t="inlineStr">
        <is>
          <t>Tercer periodo</t>
        </is>
      </c>
      <c r="C549" t="n">
        <v>5</v>
      </c>
      <c r="D549" t="n">
        <v>547</v>
      </c>
      <c r="E549" s="3" t="n">
        <v>46157</v>
      </c>
      <c r="F549" t="inlineStr">
        <is>
          <t>Iniciativa</t>
        </is>
      </c>
      <c r="G549" t="inlineStr">
        <is>
          <t>Dictamen con minuta de decreto por el cual se reforma el artículo 44 de la ley orgánica municipal</t>
        </is>
      </c>
      <c r="H549" t="n">
        <v>18</v>
      </c>
      <c r="I549" t="inlineStr">
        <is>
          <t>Administración Pública</t>
        </is>
      </c>
      <c r="J549" t="n">
        <v>40</v>
      </c>
      <c r="K549" t="n">
        <v>0</v>
      </c>
      <c r="L549" t="n">
        <v>0</v>
      </c>
      <c r="M549" t="n">
        <v>1</v>
      </c>
      <c r="N549">
        <f>SUM(J549:M549)</f>
        <v/>
      </c>
      <c r="O549" s="4">
        <f>SUM(J549:L549)/SUM(J549:M549)</f>
        <v/>
      </c>
      <c r="P549" s="5">
        <f>MAX(J549:L549)/SUM(J549:L549)</f>
        <v/>
      </c>
    </row>
    <row r="550">
      <c r="A550" t="inlineStr">
        <is>
          <t>Segundo año</t>
        </is>
      </c>
      <c r="B550" t="inlineStr">
        <is>
          <t>Tercer periodo</t>
        </is>
      </c>
      <c r="C550" t="n">
        <v>6</v>
      </c>
      <c r="D550" t="n">
        <v>548</v>
      </c>
      <c r="E550" s="3" t="n">
        <v>46157</v>
      </c>
      <c r="F550" t="inlineStr">
        <is>
          <t>Iniciativa</t>
        </is>
      </c>
      <c r="G550" t="inlineStr">
        <is>
          <t>Dictamen con minuta de decreto por el cual se adiciona el artículo 102 bis a la ley estatal de salud</t>
        </is>
      </c>
      <c r="H550" t="n">
        <v>6</v>
      </c>
      <c r="I550" t="inlineStr">
        <is>
          <t>Salud</t>
        </is>
      </c>
      <c r="J550" t="n">
        <v>40</v>
      </c>
      <c r="K550" t="n">
        <v>0</v>
      </c>
      <c r="L550" t="n">
        <v>0</v>
      </c>
      <c r="M550" t="n">
        <v>1</v>
      </c>
      <c r="N550">
        <f>SUM(J550:M550)</f>
        <v/>
      </c>
      <c r="O550" s="4">
        <f>SUM(J550:L550)/SUM(J550:M550)</f>
        <v/>
      </c>
      <c r="P550" s="5">
        <f>MAX(J550:L550)/SUM(J550:L550)</f>
        <v/>
      </c>
    </row>
    <row r="551">
      <c r="A551" t="inlineStr">
        <is>
          <t>Segundo año</t>
        </is>
      </c>
      <c r="B551" t="inlineStr">
        <is>
          <t>Tercer periodo</t>
        </is>
      </c>
      <c r="C551" t="n">
        <v>7</v>
      </c>
      <c r="D551" t="n">
        <v>549</v>
      </c>
      <c r="E551" s="3" t="n">
        <v>46157</v>
      </c>
      <c r="F551" t="inlineStr">
        <is>
          <t>Iniciativa</t>
        </is>
      </c>
      <c r="G551" t="inlineStr">
        <is>
          <t>Dictamen con minuta de decreto por el cual se reforman y adicionan diversas disposiciones de la ley estatal de salud; y de la ley de salud mental y adicciones para el estado de</t>
        </is>
      </c>
      <c r="H551" t="n">
        <v>6</v>
      </c>
      <c r="I551" t="inlineStr">
        <is>
          <t>Salud</t>
        </is>
      </c>
      <c r="J551" t="n">
        <v>40</v>
      </c>
      <c r="K551" t="n">
        <v>0</v>
      </c>
      <c r="L551" t="n">
        <v>0</v>
      </c>
      <c r="M551" t="n">
        <v>1</v>
      </c>
      <c r="N551">
        <f>SUM(J551:M551)</f>
        <v/>
      </c>
      <c r="O551" s="4">
        <f>SUM(J551:L551)/SUM(J551:M551)</f>
        <v/>
      </c>
      <c r="P551" s="5">
        <f>MAX(J551:L551)/SUM(J551:L551)</f>
        <v/>
      </c>
    </row>
    <row r="552">
      <c r="A552" t="inlineStr">
        <is>
          <t>Segundo año</t>
        </is>
      </c>
      <c r="B552" t="inlineStr">
        <is>
          <t>Tercer periodo</t>
        </is>
      </c>
      <c r="C552" t="n">
        <v>8</v>
      </c>
      <c r="D552" t="n">
        <v>550</v>
      </c>
      <c r="E552" s="3" t="n">
        <v>46157</v>
      </c>
      <c r="F552" t="inlineStr">
        <is>
          <t>Iniciativa</t>
        </is>
      </c>
      <c r="G552" t="inlineStr">
        <is>
          <t>Dictamen con minuta de decreto por el cual se reforma la fracción xvii del artículo 13 de la ley de salud mental y adicciones para el estado de</t>
        </is>
      </c>
      <c r="H552" t="n">
        <v>6</v>
      </c>
      <c r="I552" t="inlineStr">
        <is>
          <t>Salud</t>
        </is>
      </c>
      <c r="J552" t="n">
        <v>40</v>
      </c>
      <c r="K552" t="n">
        <v>0</v>
      </c>
      <c r="L552" t="n">
        <v>0</v>
      </c>
      <c r="M552" t="n">
        <v>1</v>
      </c>
      <c r="N552">
        <f>SUM(J552:M552)</f>
        <v/>
      </c>
      <c r="O552" s="4">
        <f>SUM(J552:L552)/SUM(J552:M552)</f>
        <v/>
      </c>
      <c r="P552" s="5">
        <f>MAX(J552:L552)/SUM(J552:L552)</f>
        <v/>
      </c>
    </row>
    <row r="553">
      <c r="A553" t="inlineStr">
        <is>
          <t>Segundo año</t>
        </is>
      </c>
      <c r="B553" t="inlineStr">
        <is>
          <t>Tercer periodo</t>
        </is>
      </c>
      <c r="C553" t="n">
        <v>9</v>
      </c>
      <c r="D553" t="n">
        <v>551</v>
      </c>
      <c r="E553" s="3" t="n">
        <v>46157</v>
      </c>
      <c r="F553" t="inlineStr">
        <is>
          <t>Iniciativa</t>
        </is>
      </c>
      <c r="G553" t="inlineStr">
        <is>
          <t>Dictamen con minuta de decreto por el cual se reforman y adicionan diversas disposiciones de la ley de protección a las personas adultas mayores para el estado de</t>
        </is>
      </c>
      <c r="H553" t="n">
        <v>2</v>
      </c>
      <c r="I553" t="inlineStr">
        <is>
          <t>Pobreza y Política Social</t>
        </is>
      </c>
      <c r="J553" t="n">
        <v>40</v>
      </c>
      <c r="K553" t="n">
        <v>0</v>
      </c>
      <c r="L553" t="n">
        <v>0</v>
      </c>
      <c r="M553" t="n">
        <v>1</v>
      </c>
      <c r="N553">
        <f>SUM(J553:M553)</f>
        <v/>
      </c>
      <c r="O553" s="4">
        <f>SUM(J553:L553)/SUM(J553:M553)</f>
        <v/>
      </c>
      <c r="P553" s="5">
        <f>MAX(J553:L553)/SUM(J553:L553)</f>
        <v/>
      </c>
    </row>
    <row r="554">
      <c r="A554" t="inlineStr">
        <is>
          <t>Segundo año</t>
        </is>
      </c>
      <c r="B554" t="inlineStr">
        <is>
          <t>Tercer periodo</t>
        </is>
      </c>
      <c r="C554" t="n">
        <v>10</v>
      </c>
      <c r="D554" t="n">
        <v>552</v>
      </c>
      <c r="E554" s="3" t="n">
        <v>46157</v>
      </c>
      <c r="F554" t="inlineStr">
        <is>
          <t>Iniciativa</t>
        </is>
      </c>
      <c r="G554" t="inlineStr">
        <is>
          <t>Dictamen con minuta de decreto por el cual se reforman y adicionan diversas disposiciones de la ley para prevenir y eliminar la discriminación del estado libre y soberano de</t>
        </is>
      </c>
      <c r="H554" t="n">
        <v>14</v>
      </c>
      <c r="I554" t="inlineStr">
        <is>
          <t>Justicia y Estado de Derecho</t>
        </is>
      </c>
      <c r="J554" t="n">
        <v>40</v>
      </c>
      <c r="K554" t="n">
        <v>0</v>
      </c>
      <c r="L554" t="n">
        <v>0</v>
      </c>
      <c r="M554" t="n">
        <v>1</v>
      </c>
      <c r="N554">
        <f>SUM(J554:M554)</f>
        <v/>
      </c>
      <c r="O554" s="4">
        <f>SUM(J554:L554)/SUM(J554:M554)</f>
        <v/>
      </c>
      <c r="P554" s="5">
        <f>MAX(J554:L554)/SUM(J554:L554)</f>
        <v/>
      </c>
    </row>
    <row r="555">
      <c r="A555" t="inlineStr">
        <is>
          <t>Segundo año</t>
        </is>
      </c>
      <c r="B555" t="inlineStr">
        <is>
          <t>Tercer periodo</t>
        </is>
      </c>
      <c r="C555" t="n">
        <v>11</v>
      </c>
      <c r="D555" t="n">
        <v>553</v>
      </c>
      <c r="E555" s="3" t="n">
        <v>46157</v>
      </c>
      <c r="F555" t="inlineStr">
        <is>
          <t>Iniciativa</t>
        </is>
      </c>
      <c r="G555" t="inlineStr">
        <is>
          <t>Dictamen con minuta de decreto por el cual se reforman y adicionan diversas disposiciones de la ley estatal del deporte</t>
        </is>
      </c>
      <c r="H555" t="n">
        <v>8</v>
      </c>
      <c r="I555" t="inlineStr">
        <is>
          <t>Educación y Cultura</t>
        </is>
      </c>
      <c r="J555" t="n">
        <v>35</v>
      </c>
      <c r="K555" t="n">
        <v>0</v>
      </c>
      <c r="L555" t="n">
        <v>5</v>
      </c>
      <c r="M555" t="n">
        <v>1</v>
      </c>
      <c r="N555">
        <f>SUM(J555:M555)</f>
        <v/>
      </c>
      <c r="O555" s="4">
        <f>SUM(J555:L555)/SUM(J555:M555)</f>
        <v/>
      </c>
      <c r="P555" s="5">
        <f>MAX(J555:L555)/SUM(J555:L555)</f>
        <v/>
      </c>
    </row>
    <row r="556">
      <c r="A556" t="inlineStr">
        <is>
          <t>Segundo año</t>
        </is>
      </c>
      <c r="B556" t="inlineStr">
        <is>
          <t>Tercer periodo</t>
        </is>
      </c>
      <c r="C556" t="n">
        <v>12</v>
      </c>
      <c r="D556" t="n">
        <v>554</v>
      </c>
      <c r="E556" s="3" t="n">
        <v>46157</v>
      </c>
      <c r="F556" t="inlineStr">
        <is>
          <t>Iniciativa</t>
        </is>
      </c>
      <c r="G556" t="inlineStr">
        <is>
          <t>Dictamen con minuta de decreto por el cual se adiciona el artículo 60 bis a la ley de los trabajadores al servicio del estado</t>
        </is>
      </c>
      <c r="H556" t="n">
        <v>16</v>
      </c>
      <c r="I556" t="inlineStr">
        <is>
          <t>Trabajo y Previsión Social</t>
        </is>
      </c>
      <c r="J556" t="n">
        <v>40</v>
      </c>
      <c r="K556" t="n">
        <v>0</v>
      </c>
      <c r="L556" t="n">
        <v>0</v>
      </c>
      <c r="M556" t="n">
        <v>1</v>
      </c>
      <c r="N556">
        <f>SUM(J556:M556)</f>
        <v/>
      </c>
      <c r="O556" s="4">
        <f>SUM(J556:L556)/SUM(J556:M556)</f>
        <v/>
      </c>
      <c r="P556" s="5">
        <f>MAX(J556:L556)/SUM(J556:L556)</f>
        <v/>
      </c>
    </row>
    <row r="557">
      <c r="A557" t="inlineStr">
        <is>
          <t>Segundo año</t>
        </is>
      </c>
      <c r="B557" t="inlineStr">
        <is>
          <t>Tercer periodo</t>
        </is>
      </c>
      <c r="C557" t="n">
        <v>13</v>
      </c>
      <c r="D557" t="n">
        <v>555</v>
      </c>
      <c r="E557" s="3" t="n">
        <v>46157</v>
      </c>
      <c r="F557" t="inlineStr">
        <is>
          <t>Punto de Acuerdo</t>
        </is>
      </c>
      <c r="G557" t="inlineStr">
        <is>
          <t>Acuerdo por el que se exhorta a la secretaría de desarrollo económico y trabajo, para que, en coordinación con la secretaría de deporte y juventud y los doscientos doce ayuntamientos y cinco concejos municipales del estado, fortalezcan las acciones en apoyo al emprendimiento de los y las jóvenes, incluyendo la capacitación, financiamiento, el destino y adaptación de espacios como puntos de venta, así como la promoción y comercialización de sus productos, con el fin de fomentar el consumo local y la autonomía económica de aquel sector</t>
        </is>
      </c>
      <c r="H557" t="n">
        <v>1</v>
      </c>
      <c r="I557" t="inlineStr">
        <is>
          <t>Economía, Comercio y Competitividad</t>
        </is>
      </c>
      <c r="J557" t="n">
        <v>40</v>
      </c>
      <c r="K557" t="n">
        <v>0</v>
      </c>
      <c r="L557" t="n">
        <v>0</v>
      </c>
      <c r="M557" t="n">
        <v>1</v>
      </c>
      <c r="N557">
        <f>SUM(J557:M557)</f>
        <v/>
      </c>
      <c r="O557" s="4">
        <f>SUM(J557:L557)/SUM(J557:M557)</f>
        <v/>
      </c>
      <c r="P557" s="5">
        <f>MAX(J557:L557)/SUM(J557:L557)</f>
        <v/>
      </c>
    </row>
    <row r="558">
      <c r="A558" t="inlineStr">
        <is>
          <t>Segundo año</t>
        </is>
      </c>
      <c r="B558" t="inlineStr">
        <is>
          <t>Tercer periodo</t>
        </is>
      </c>
      <c r="C558" t="n">
        <v>14</v>
      </c>
      <c r="D558" t="n">
        <v>556</v>
      </c>
      <c r="E558" s="3" t="n">
        <v>46157</v>
      </c>
      <c r="F558" t="inlineStr">
        <is>
          <t>Punto de Acuerdo</t>
        </is>
      </c>
      <c r="G558" t="inlineStr">
        <is>
          <t>Acuerdo por el que se exhorta a los doscientos doce ayuntamientos y cinco concejos municipales del estado, para que implementen capacitaciones para las personas servidoras públicas en materia de fiscalización, rendición de cuentas y responsabilidades administrativas, con el fin de fortalecer su profesionalización y prevenir actos de corrupción, así como para consolidar una administración pública municipal transparente y eficiente</t>
        </is>
      </c>
      <c r="H558" t="n">
        <v>10</v>
      </c>
      <c r="I558" t="inlineStr">
        <is>
          <t>Transparencia y Rendición de Cuentas</t>
        </is>
      </c>
      <c r="J558" t="n">
        <v>40</v>
      </c>
      <c r="K558" t="n">
        <v>0</v>
      </c>
      <c r="L558" t="n">
        <v>0</v>
      </c>
      <c r="M558" t="n">
        <v>1</v>
      </c>
      <c r="N558">
        <f>SUM(J558:M558)</f>
        <v/>
      </c>
      <c r="O558" s="4">
        <f>SUM(J558:L558)/SUM(J558:M558)</f>
        <v/>
      </c>
      <c r="P558" s="5">
        <f>MAX(J558:L558)/SUM(J558:L558)</f>
        <v/>
      </c>
    </row>
    <row r="559">
      <c r="A559" t="inlineStr">
        <is>
          <t>Segundo año</t>
        </is>
      </c>
      <c r="B559" t="inlineStr">
        <is>
          <t>Tercer periodo</t>
        </is>
      </c>
      <c r="C559" t="n">
        <v>15</v>
      </c>
      <c r="D559" t="n">
        <v>557</v>
      </c>
      <c r="E559" s="3" t="n">
        <v>46157</v>
      </c>
      <c r="F559" t="inlineStr">
        <is>
          <t>Punto de Acuerdo</t>
        </is>
      </c>
      <c r="G559" t="inlineStr">
        <is>
          <t>Acuerdo por el que se exhorta a la secretaría de salud, para que, en coordinación con los doscientos doce ayuntamientos y cinco concejos municipales del estado, implemente estrategias para fortalecer la prevención y atención de la salud en los distintos puntos de la entidad, a través de la adaptación de espacios de consulta médica comunitaria, así como de la firma de convenios con instituciones de educación superior con vocación médica, a fin de que sus estudiantes puedan participar de manera activa y responsable en aquellas tareas, en beneficio de los y las poblanas</t>
        </is>
      </c>
      <c r="H559" t="n">
        <v>6</v>
      </c>
      <c r="I559" t="inlineStr">
        <is>
          <t>Salud</t>
        </is>
      </c>
      <c r="J559" t="n">
        <v>40</v>
      </c>
      <c r="K559" t="n">
        <v>0</v>
      </c>
      <c r="L559" t="n">
        <v>0</v>
      </c>
      <c r="M559" t="n">
        <v>1</v>
      </c>
      <c r="N559">
        <f>SUM(J559:M559)</f>
        <v/>
      </c>
      <c r="O559" s="4">
        <f>SUM(J559:L559)/SUM(J559:M559)</f>
        <v/>
      </c>
      <c r="P559" s="5">
        <f>MAX(J559:L559)/SUM(J559:L559)</f>
        <v/>
      </c>
    </row>
    <row r="560">
      <c r="A560" t="inlineStr">
        <is>
          <t>Segundo año</t>
        </is>
      </c>
      <c r="B560" t="inlineStr">
        <is>
          <t>Tercer periodo</t>
        </is>
      </c>
      <c r="C560" t="n">
        <v>16</v>
      </c>
      <c r="D560" t="n">
        <v>558</v>
      </c>
      <c r="E560" s="3" t="n">
        <v>46163</v>
      </c>
      <c r="F560" t="inlineStr">
        <is>
          <t>Punto de Acuerdo</t>
        </is>
      </c>
      <c r="G560" t="inlineStr">
        <is>
          <t>Acuerdo por el cual la prórroga de la sesión</t>
        </is>
      </c>
      <c r="H560" t="n">
        <v>18</v>
      </c>
      <c r="I560" t="inlineStr">
        <is>
          <t>Administración Pública</t>
        </is>
      </c>
      <c r="J560" t="n">
        <v>41</v>
      </c>
      <c r="K560" t="n">
        <v>0</v>
      </c>
      <c r="L560" t="n">
        <v>0</v>
      </c>
      <c r="M560" t="n">
        <v>0</v>
      </c>
      <c r="N560">
        <f>SUM(J560:M560)</f>
        <v/>
      </c>
      <c r="O560" s="4">
        <f>SUM(J560:L560)/SUM(J560:M560)</f>
        <v/>
      </c>
      <c r="P560" s="5">
        <f>MAX(J560:L560)/SUM(J560:L560)</f>
        <v/>
      </c>
    </row>
    <row r="561">
      <c r="A561" t="inlineStr">
        <is>
          <t>Segundo año</t>
        </is>
      </c>
      <c r="B561" t="inlineStr">
        <is>
          <t>Tercer periodo</t>
        </is>
      </c>
      <c r="C561" t="n">
        <v>17</v>
      </c>
      <c r="D561" t="n">
        <v>559</v>
      </c>
      <c r="E561" s="3" t="n">
        <v>46163</v>
      </c>
      <c r="F561" t="inlineStr">
        <is>
          <t>Iniciativa</t>
        </is>
      </c>
      <c r="G561" t="inlineStr">
        <is>
          <t>Dictamen con minuta de decreto por el cual se autoriza al honorable ayuntamiento del municipio de , , otorgar la concesión para usar, explotar y aprovechar las zonas de espera peatonal para uso publicitario, por un plazo de diez años</t>
        </is>
      </c>
      <c r="H561" t="n">
        <v>7</v>
      </c>
      <c r="I561" t="inlineStr">
        <is>
          <t>Impuestos, Finanzas Públicas, Patrimonio estatal y municipal</t>
        </is>
      </c>
      <c r="J561" t="n">
        <v>32</v>
      </c>
      <c r="K561" t="n">
        <v>2</v>
      </c>
      <c r="L561" t="n">
        <v>5</v>
      </c>
      <c r="M561" t="n">
        <v>0</v>
      </c>
      <c r="N561">
        <f>SUM(J561:M561)</f>
        <v/>
      </c>
      <c r="O561" s="4">
        <f>SUM(J561:L561)/SUM(J561:M561)</f>
        <v/>
      </c>
      <c r="P561" s="5">
        <f>MAX(J561:L561)/SUM(J561:L561)</f>
        <v/>
      </c>
    </row>
    <row r="562">
      <c r="A562" t="inlineStr">
        <is>
          <t>Segundo año</t>
        </is>
      </c>
      <c r="B562" t="inlineStr">
        <is>
          <t>Tercer periodo</t>
        </is>
      </c>
      <c r="C562" t="n">
        <v>18</v>
      </c>
      <c r="D562" t="n">
        <v>560</v>
      </c>
      <c r="E562" s="3" t="n">
        <v>46163</v>
      </c>
      <c r="F562" t="inlineStr">
        <is>
          <t>Iniciativa</t>
        </is>
      </c>
      <c r="G562" t="inlineStr">
        <is>
          <t>Dictamen con minuta de decreto por el cual se reforma el artículo 70 bis de la ley de turismo del estado de</t>
        </is>
      </c>
      <c r="H562" t="n">
        <v>1</v>
      </c>
      <c r="I562" t="inlineStr">
        <is>
          <t>Economía, Comercio y Competitividad</t>
        </is>
      </c>
      <c r="J562" t="n">
        <v>40</v>
      </c>
      <c r="K562" t="n">
        <v>0</v>
      </c>
      <c r="L562" t="n">
        <v>0</v>
      </c>
      <c r="M562" t="n">
        <v>0</v>
      </c>
      <c r="N562">
        <f>SUM(J562:M562)</f>
        <v/>
      </c>
      <c r="O562" s="4">
        <f>SUM(J562:L562)/SUM(J562:M562)</f>
        <v/>
      </c>
      <c r="P562" s="5">
        <f>MAX(J562:L562)/SUM(J562:L562)</f>
        <v/>
      </c>
    </row>
    <row r="563">
      <c r="A563" t="inlineStr">
        <is>
          <t>Segundo año</t>
        </is>
      </c>
      <c r="B563" t="inlineStr">
        <is>
          <t>Tercer periodo</t>
        </is>
      </c>
      <c r="C563" t="n">
        <v>19</v>
      </c>
      <c r="D563" t="n">
        <v>561</v>
      </c>
      <c r="E563" s="3" t="n">
        <v>46163</v>
      </c>
      <c r="F563" t="inlineStr">
        <is>
          <t>Iniciativa</t>
        </is>
      </c>
      <c r="G563" t="inlineStr">
        <is>
          <t>Dictamen con minuta de decreto por el cual se reforman y adicionan diversas disposiciones de la ley de educación; de la ley de seguridad integral escolar y de la ley de salud mental y adicciones para el estado de</t>
        </is>
      </c>
      <c r="H563" t="n">
        <v>8</v>
      </c>
      <c r="I563" t="inlineStr">
        <is>
          <t>Educación y Cultura</t>
        </is>
      </c>
      <c r="J563" t="n">
        <v>40</v>
      </c>
      <c r="K563" t="n">
        <v>0</v>
      </c>
      <c r="L563" t="n">
        <v>0</v>
      </c>
      <c r="M563" t="n">
        <v>0</v>
      </c>
      <c r="N563">
        <f>SUM(J563:M563)</f>
        <v/>
      </c>
      <c r="O563" s="4">
        <f>SUM(J563:L563)/SUM(J563:M563)</f>
        <v/>
      </c>
      <c r="P563" s="5">
        <f>MAX(J563:L563)/SUM(J563:L563)</f>
        <v/>
      </c>
    </row>
    <row r="564">
      <c r="A564" t="inlineStr">
        <is>
          <t>Segundo año</t>
        </is>
      </c>
      <c r="B564" t="inlineStr">
        <is>
          <t>Tercer periodo</t>
        </is>
      </c>
      <c r="C564" t="n">
        <v>20</v>
      </c>
      <c r="D564" t="n">
        <v>562</v>
      </c>
      <c r="E564" s="3" t="n">
        <v>46163</v>
      </c>
      <c r="F564" t="inlineStr">
        <is>
          <t>Iniciativa</t>
        </is>
      </c>
      <c r="G564" t="inlineStr">
        <is>
          <t>Dictamen con minuta de decreto por el cual se reforman la fracción vi del artículo 69, el segundo párrafo del 76, el 78 y el primer párrafo del 79 de la ley de la juventud para el estado de</t>
        </is>
      </c>
      <c r="H564" t="n">
        <v>18</v>
      </c>
      <c r="I564" t="inlineStr">
        <is>
          <t>Administración Pública</t>
        </is>
      </c>
      <c r="J564" t="n">
        <v>40</v>
      </c>
      <c r="K564" t="n">
        <v>0</v>
      </c>
      <c r="L564" t="n">
        <v>0</v>
      </c>
      <c r="M564" t="n">
        <v>0</v>
      </c>
      <c r="N564">
        <f>SUM(J564:M564)</f>
        <v/>
      </c>
      <c r="O564" s="4">
        <f>SUM(J564:L564)/SUM(J564:M564)</f>
        <v/>
      </c>
      <c r="P564" s="5">
        <f>MAX(J564:L564)/SUM(J564:L564)</f>
        <v/>
      </c>
    </row>
    <row r="565">
      <c r="A565" t="inlineStr">
        <is>
          <t>Segundo año</t>
        </is>
      </c>
      <c r="B565" t="inlineStr">
        <is>
          <t>Tercer periodo</t>
        </is>
      </c>
      <c r="C565" t="n">
        <v>21</v>
      </c>
      <c r="D565" t="n">
        <v>563</v>
      </c>
      <c r="E565" s="3" t="n">
        <v>46163</v>
      </c>
      <c r="F565" t="inlineStr">
        <is>
          <t>Iniciativa</t>
        </is>
      </c>
      <c r="G565" t="inlineStr">
        <is>
          <t>Dictamen con minuta de decreto por el cual se reforma el artículo 45 de la ley de la juventud para el estado de</t>
        </is>
      </c>
      <c r="H565" t="n">
        <v>18</v>
      </c>
      <c r="I565" t="inlineStr">
        <is>
          <t>Administración Pública</t>
        </is>
      </c>
      <c r="J565" t="n">
        <v>40</v>
      </c>
      <c r="K565" t="n">
        <v>0</v>
      </c>
      <c r="L565" t="n">
        <v>0</v>
      </c>
      <c r="M565" t="n">
        <v>0</v>
      </c>
      <c r="N565">
        <f>SUM(J565:M565)</f>
        <v/>
      </c>
      <c r="O565" s="4">
        <f>SUM(J565:L565)/SUM(J565:M565)</f>
        <v/>
      </c>
      <c r="P565" s="5">
        <f>MAX(J565:L565)/SUM(J565:L565)</f>
        <v/>
      </c>
    </row>
    <row r="566">
      <c r="A566" t="inlineStr">
        <is>
          <t>Segundo año</t>
        </is>
      </c>
      <c r="B566" t="inlineStr">
        <is>
          <t>Tercer periodo</t>
        </is>
      </c>
      <c r="C566" t="n">
        <v>22</v>
      </c>
      <c r="D566" t="n">
        <v>564</v>
      </c>
      <c r="E566" s="3" t="n">
        <v>46163</v>
      </c>
      <c r="F566" t="inlineStr">
        <is>
          <t>Iniciativa</t>
        </is>
      </c>
      <c r="G566" t="inlineStr">
        <is>
          <t>Dictamen con minuta de decreto por el cual se reforman y adicionan diversas disposiciones de la ley de desarrollo social para el estado de</t>
        </is>
      </c>
      <c r="H566" t="n">
        <v>2</v>
      </c>
      <c r="I566" t="inlineStr">
        <is>
          <t>Pobreza y Política Social</t>
        </is>
      </c>
      <c r="J566" t="n">
        <v>40</v>
      </c>
      <c r="K566" t="n">
        <v>0</v>
      </c>
      <c r="L566" t="n">
        <v>0</v>
      </c>
      <c r="M566" t="n">
        <v>0</v>
      </c>
      <c r="N566">
        <f>SUM(J566:M566)</f>
        <v/>
      </c>
      <c r="O566" s="4">
        <f>SUM(J566:L566)/SUM(J566:M566)</f>
        <v/>
      </c>
      <c r="P566" s="5">
        <f>MAX(J566:L566)/SUM(J566:L566)</f>
        <v/>
      </c>
    </row>
    <row r="567">
      <c r="A567" t="inlineStr">
        <is>
          <t>Segundo año</t>
        </is>
      </c>
      <c r="B567" t="inlineStr">
        <is>
          <t>Tercer periodo</t>
        </is>
      </c>
      <c r="C567" t="n">
        <v>23</v>
      </c>
      <c r="D567" t="n">
        <v>565</v>
      </c>
      <c r="E567" s="3" t="n">
        <v>46163</v>
      </c>
      <c r="F567" t="inlineStr">
        <is>
          <t>Iniciativa</t>
        </is>
      </c>
      <c r="G567" t="inlineStr">
        <is>
          <t>Dictamen con minuta de decreto por el cual se reforman, adicionan y derogan diversas disposiciones de la ley de cultura del estado de</t>
        </is>
      </c>
      <c r="H567" t="n">
        <v>8</v>
      </c>
      <c r="I567" t="inlineStr">
        <is>
          <t>Educación y Cultura</t>
        </is>
      </c>
      <c r="J567" t="n">
        <v>40</v>
      </c>
      <c r="K567" t="n">
        <v>0</v>
      </c>
      <c r="L567" t="n">
        <v>0</v>
      </c>
      <c r="M567" t="n">
        <v>0</v>
      </c>
      <c r="N567">
        <f>SUM(J567:M567)</f>
        <v/>
      </c>
      <c r="O567" s="4">
        <f>SUM(J567:L567)/SUM(J567:M567)</f>
        <v/>
      </c>
      <c r="P567" s="5">
        <f>MAX(J567:L567)/SUM(J567:L567)</f>
        <v/>
      </c>
    </row>
    <row r="568">
      <c r="A568" t="inlineStr">
        <is>
          <t>Segundo año</t>
        </is>
      </c>
      <c r="B568" t="inlineStr">
        <is>
          <t>Tercer periodo</t>
        </is>
      </c>
      <c r="C568" t="n">
        <v>24</v>
      </c>
      <c r="D568" t="n">
        <v>566</v>
      </c>
      <c r="E568" s="3" t="n">
        <v>46163</v>
      </c>
      <c r="F568" t="inlineStr">
        <is>
          <t>Iniciativa</t>
        </is>
      </c>
      <c r="G568" t="inlineStr">
        <is>
          <t>Dictamen con minuta de decreto por el cual se reforma el primer párrafo y las fracciones xiv y xv del artículo 10; y se adiciona la fracción xvi al artículo 10 de la ley para la igualdad entre mujeres y hombres del estado de</t>
        </is>
      </c>
      <c r="H568" t="n">
        <v>20</v>
      </c>
      <c r="I568" t="inlineStr">
        <is>
          <t>Justicia y Estado de Derecho en temas de Mujeres</t>
        </is>
      </c>
      <c r="J568" t="n">
        <v>40</v>
      </c>
      <c r="K568" t="n">
        <v>0</v>
      </c>
      <c r="L568" t="n">
        <v>0</v>
      </c>
      <c r="M568" t="n">
        <v>0</v>
      </c>
      <c r="N568">
        <f>SUM(J568:M568)</f>
        <v/>
      </c>
      <c r="O568" s="4">
        <f>SUM(J568:L568)/SUM(J568:M568)</f>
        <v/>
      </c>
      <c r="P568" s="5">
        <f>MAX(J568:L568)/SUM(J568:L568)</f>
        <v/>
      </c>
    </row>
    <row r="569">
      <c r="A569" t="inlineStr">
        <is>
          <t>Segundo año</t>
        </is>
      </c>
      <c r="B569" t="inlineStr">
        <is>
          <t>Tercer periodo</t>
        </is>
      </c>
      <c r="C569" t="n">
        <v>25</v>
      </c>
      <c r="D569" t="n">
        <v>567</v>
      </c>
      <c r="E569" s="3" t="n">
        <v>46163</v>
      </c>
      <c r="F569" t="inlineStr">
        <is>
          <t>Iniciativa</t>
        </is>
      </c>
      <c r="G569" t="inlineStr">
        <is>
          <t>Dictamen con minuta de decreto por el cual se reforman los artículos 22 y 22 bis de la ley para el acceso de las mujeres a una vida libre de violencia del estado de</t>
        </is>
      </c>
      <c r="H569" t="n">
        <v>20</v>
      </c>
      <c r="I569" t="inlineStr">
        <is>
          <t>Justicia y Estado de Derecho en temas de Mujeres</t>
        </is>
      </c>
      <c r="J569" t="n">
        <v>39</v>
      </c>
      <c r="K569" t="n">
        <v>0</v>
      </c>
      <c r="L569" t="n">
        <v>1</v>
      </c>
      <c r="M569" t="n">
        <v>0</v>
      </c>
      <c r="N569">
        <f>SUM(J569:M569)</f>
        <v/>
      </c>
      <c r="O569" s="4">
        <f>SUM(J569:L569)/SUM(J569:M569)</f>
        <v/>
      </c>
      <c r="P569" s="5">
        <f>MAX(J569:L569)/SUM(J569:L569)</f>
        <v/>
      </c>
    </row>
    <row r="570">
      <c r="A570" t="inlineStr">
        <is>
          <t>Segundo año</t>
        </is>
      </c>
      <c r="B570" t="inlineStr">
        <is>
          <t>Tercer periodo</t>
        </is>
      </c>
      <c r="C570" t="n">
        <v>26</v>
      </c>
      <c r="D570" t="n">
        <v>568</v>
      </c>
      <c r="E570" s="3" t="n">
        <v>46163</v>
      </c>
      <c r="F570" t="inlineStr">
        <is>
          <t>Iniciativa</t>
        </is>
      </c>
      <c r="G570" t="inlineStr">
        <is>
          <t>Dictamen con minuta de decreto por el cual se reforman las fracciones xi y xii; y se adiciona la fracción xiii al artículo 43 de la ley para el acceso de las mujeres a una vida libre de violencia del estado de</t>
        </is>
      </c>
      <c r="H570" t="n">
        <v>20</v>
      </c>
      <c r="I570" t="inlineStr">
        <is>
          <t>Justicia y Estado de Derecho en temas de Mujeres</t>
        </is>
      </c>
      <c r="J570" t="n">
        <v>39</v>
      </c>
      <c r="K570" t="n">
        <v>0</v>
      </c>
      <c r="L570" t="n">
        <v>1</v>
      </c>
      <c r="M570" t="n">
        <v>0</v>
      </c>
      <c r="N570">
        <f>SUM(J570:M570)</f>
        <v/>
      </c>
      <c r="O570" s="4">
        <f>SUM(J570:L570)/SUM(J570:M570)</f>
        <v/>
      </c>
      <c r="P570" s="5">
        <f>MAX(J570:L570)/SUM(J570:L570)</f>
        <v/>
      </c>
    </row>
    <row r="571">
      <c r="A571" t="inlineStr">
        <is>
          <t>Segundo año</t>
        </is>
      </c>
      <c r="B571" t="inlineStr">
        <is>
          <t>Tercer periodo</t>
        </is>
      </c>
      <c r="C571" t="n">
        <v>27</v>
      </c>
      <c r="D571" t="n">
        <v>569</v>
      </c>
      <c r="E571" s="3" t="n">
        <v>46163</v>
      </c>
      <c r="F571" t="inlineStr">
        <is>
          <t>Iniciativa</t>
        </is>
      </c>
      <c r="G571" t="inlineStr">
        <is>
          <t>Dictamen con minuta de decreto por el cual se reforman diversas disposiciones del código penal del estado libre y soberano de</t>
        </is>
      </c>
      <c r="H571" t="n">
        <v>14</v>
      </c>
      <c r="I571" t="inlineStr">
        <is>
          <t>Justicia y Estado de Derecho</t>
        </is>
      </c>
      <c r="J571" t="n">
        <v>40</v>
      </c>
      <c r="K571" t="n">
        <v>0</v>
      </c>
      <c r="L571" t="n">
        <v>0</v>
      </c>
      <c r="M571" t="n">
        <v>0</v>
      </c>
      <c r="N571">
        <f>SUM(J571:M571)</f>
        <v/>
      </c>
      <c r="O571" s="4">
        <f>SUM(J571:L571)/SUM(J571:M571)</f>
        <v/>
      </c>
      <c r="P571" s="5">
        <f>MAX(J571:L571)/SUM(J571:L571)</f>
        <v/>
      </c>
    </row>
    <row r="572">
      <c r="A572" t="inlineStr">
        <is>
          <t>Segundo año</t>
        </is>
      </c>
      <c r="B572" t="inlineStr">
        <is>
          <t>Tercer periodo</t>
        </is>
      </c>
      <c r="C572" t="n">
        <v>28</v>
      </c>
      <c r="D572" t="n">
        <v>570</v>
      </c>
      <c r="E572" s="3" t="n">
        <v>46163</v>
      </c>
      <c r="F572" t="inlineStr">
        <is>
          <t>Iniciativa</t>
        </is>
      </c>
      <c r="G572" t="inlineStr">
        <is>
          <t>Dictamen con minuta de decreto por el cual se reforman la denominación de la sección segunda del capítulo séptimo del libro segundo y el artículo 224 del código penal del estado libre y soberano de</t>
        </is>
      </c>
      <c r="H572" t="n">
        <v>14</v>
      </c>
      <c r="I572" t="inlineStr">
        <is>
          <t>Justicia y Estado de Derecho</t>
        </is>
      </c>
      <c r="J572" t="n">
        <v>40</v>
      </c>
      <c r="K572" t="n">
        <v>0</v>
      </c>
      <c r="L572" t="n">
        <v>0</v>
      </c>
      <c r="M572" t="n">
        <v>0</v>
      </c>
      <c r="N572">
        <f>SUM(J572:M572)</f>
        <v/>
      </c>
      <c r="O572" s="4">
        <f>SUM(J572:L572)/SUM(J572:M572)</f>
        <v/>
      </c>
      <c r="P572" s="5">
        <f>MAX(J572:L572)/SUM(J572:L572)</f>
        <v/>
      </c>
    </row>
    <row r="573">
      <c r="A573" t="inlineStr">
        <is>
          <t>Segundo año</t>
        </is>
      </c>
      <c r="B573" t="inlineStr">
        <is>
          <t>Tercer periodo</t>
        </is>
      </c>
      <c r="C573" t="n">
        <v>29</v>
      </c>
      <c r="D573" t="n">
        <v>571</v>
      </c>
      <c r="E573" s="3" t="n">
        <v>46163</v>
      </c>
      <c r="F573" t="inlineStr">
        <is>
          <t>Punto de Acuerdo</t>
        </is>
      </c>
      <c r="G573" t="inlineStr">
        <is>
          <t>Acuerdo por el que se exhorta a los diecinueve municipios que integran la zona metropolitana del estado, para que, en el ámbito de su competencia, realicen el mantenimiento y desazolve de la red de drenaje y alcantarillado de sus calles, avenidas y bulevares, con el fin de evitar inundaciones en la temporada de lluvias</t>
        </is>
      </c>
      <c r="H573" t="n">
        <v>3</v>
      </c>
      <c r="I573" t="inlineStr">
        <is>
          <t>Seguridad Pública, Protección Civil y Narcotráfico</t>
        </is>
      </c>
      <c r="J573" t="n">
        <v>40</v>
      </c>
      <c r="K573" t="n">
        <v>0</v>
      </c>
      <c r="L573" t="n">
        <v>0</v>
      </c>
      <c r="M573" t="n">
        <v>0</v>
      </c>
      <c r="N573">
        <f>SUM(J573:M573)</f>
        <v/>
      </c>
      <c r="O573" s="4">
        <f>SUM(J573:L573)/SUM(J573:M573)</f>
        <v/>
      </c>
      <c r="P573" s="5">
        <f>MAX(J573:L573)/SUM(J573:L573)</f>
        <v/>
      </c>
    </row>
    <row r="574">
      <c r="A574" t="inlineStr">
        <is>
          <t>Segundo año</t>
        </is>
      </c>
      <c r="B574" t="inlineStr">
        <is>
          <t>Tercer periodo</t>
        </is>
      </c>
      <c r="C574" t="n">
        <v>30</v>
      </c>
      <c r="D574" t="n">
        <v>572</v>
      </c>
      <c r="E574" s="3" t="n">
        <v>46163</v>
      </c>
      <c r="F574" t="inlineStr">
        <is>
          <t>Punto de Acuerdo</t>
        </is>
      </c>
      <c r="G574" t="inlineStr">
        <is>
          <t>Acuerdo por el que se exhorta a los diecinueve municipios que integran la zona metropolitana del estado, para que, en el ámbito de sus atribuciones y en coordinación con las autoridades competentes, diseñen, implementen y, en su caso, gestionen acciones en materia de vivienda, con el fin de brindar opciones para garantizar aquel derecho en sus respectivas demarcaciones</t>
        </is>
      </c>
      <c r="H574" t="n">
        <v>2</v>
      </c>
      <c r="I574" t="inlineStr">
        <is>
          <t>Pobreza y Política Social</t>
        </is>
      </c>
      <c r="J574" t="n">
        <v>40</v>
      </c>
      <c r="K574" t="n">
        <v>0</v>
      </c>
      <c r="L574" t="n">
        <v>0</v>
      </c>
      <c r="M574" t="n">
        <v>0</v>
      </c>
      <c r="N574">
        <f>SUM(J574:M574)</f>
        <v/>
      </c>
      <c r="O574" s="4">
        <f>SUM(J574:L574)/SUM(J574:M574)</f>
        <v/>
      </c>
      <c r="P574" s="5">
        <f>MAX(J574:L574)/SUM(J574:L574)</f>
        <v/>
      </c>
    </row>
    <row r="575">
      <c r="A575" t="inlineStr">
        <is>
          <t>Segundo año</t>
        </is>
      </c>
      <c r="B575" t="inlineStr">
        <is>
          <t>Tercer periodo</t>
        </is>
      </c>
      <c r="C575" t="n">
        <v>31</v>
      </c>
      <c r="D575" t="n">
        <v>573</v>
      </c>
      <c r="E575" s="3" t="n">
        <v>46163</v>
      </c>
      <c r="F575" t="inlineStr">
        <is>
          <t>Punto de Acuerdo</t>
        </is>
      </c>
      <c r="G575" t="inlineStr">
        <is>
          <t>Acuerdo por el que se exhorta a la secretaría de desarrollo turístico del estado para que, en coordinación con los ayuntamientos de libres, ocotepec, cuyoaco, xiutetelco, tepeyahualco, guadalupe victoria, lafragua, chilchotla, quimixtlán, chichiquila y tlachichuca, promocionen los atractivos culturales y turísticos de aquella región con el fin de reactivar su economía, fomentar la generación de empleos e impulsar su desarrollo</t>
        </is>
      </c>
      <c r="H575" t="n">
        <v>1</v>
      </c>
      <c r="I575" t="inlineStr">
        <is>
          <t>Economía, Comercio y Competitividad</t>
        </is>
      </c>
      <c r="J575" t="n">
        <v>40</v>
      </c>
      <c r="K575" t="n">
        <v>0</v>
      </c>
      <c r="L575" t="n">
        <v>0</v>
      </c>
      <c r="M575" t="n">
        <v>0</v>
      </c>
      <c r="N575">
        <f>SUM(J575:M575)</f>
        <v/>
      </c>
      <c r="O575" s="4">
        <f>SUM(J575:L575)/SUM(J575:M575)</f>
        <v/>
      </c>
      <c r="P575" s="5">
        <f>MAX(J575:L575)/SUM(J575:L575)</f>
        <v/>
      </c>
    </row>
    <row r="576">
      <c r="A576" t="inlineStr">
        <is>
          <t>Segundo año</t>
        </is>
      </c>
      <c r="B576" t="inlineStr">
        <is>
          <t>Tercer periodo</t>
        </is>
      </c>
      <c r="C576" t="n">
        <v>32</v>
      </c>
      <c r="D576" t="n">
        <v>574</v>
      </c>
      <c r="E576" s="3" t="n">
        <v>46163</v>
      </c>
      <c r="F576" t="inlineStr">
        <is>
          <t>Punto de Acuerdo</t>
        </is>
      </c>
      <c r="G576" t="inlineStr">
        <is>
          <t>Acuerdo por el que se exhorta a la secretaría de desarrollo turístico para que, en coordinación con la secretaría de medio ambiente, desarrollo sustentable y ordenamiento territorial, ambas del estado, integren y promuevan un modelo de turismo sostenible que incluya la concientización y capacitación de personas residentes, turistas, prestadoras de servicios turísticos y autoridades, con el fin de consolidar en la entidad destinos turísticos ambientalmente responsables</t>
        </is>
      </c>
      <c r="H576" t="n">
        <v>5</v>
      </c>
      <c r="I576" t="inlineStr">
        <is>
          <t>Medio Ambiente</t>
        </is>
      </c>
      <c r="J576" t="n">
        <v>40</v>
      </c>
      <c r="K576" t="n">
        <v>0</v>
      </c>
      <c r="L576" t="n">
        <v>0</v>
      </c>
      <c r="M576" t="n">
        <v>0</v>
      </c>
      <c r="N576">
        <f>SUM(J576:M576)</f>
        <v/>
      </c>
      <c r="O576" s="4">
        <f>SUM(J576:L576)/SUM(J576:M576)</f>
        <v/>
      </c>
      <c r="P576" s="5">
        <f>MAX(J576:L576)/SUM(J576:L576)</f>
        <v/>
      </c>
    </row>
    <row r="577">
      <c r="A577" t="inlineStr">
        <is>
          <t>Segundo año</t>
        </is>
      </c>
      <c r="B577" t="inlineStr">
        <is>
          <t>Tercer periodo</t>
        </is>
      </c>
      <c r="C577" t="n">
        <v>33</v>
      </c>
      <c r="D577" t="n">
        <v>575</v>
      </c>
      <c r="E577" s="3" t="n">
        <v>46163</v>
      </c>
      <c r="F577" t="inlineStr">
        <is>
          <t>Punto de Acuerdo</t>
        </is>
      </c>
      <c r="G577" t="inlineStr">
        <is>
          <t>Acuerdo por el que se exhorta a la secretaría de deporte y juventud, y a los doscientos doce ayuntamientos y cinco concejos municipales del estado, para que de manera coordinada y en el ámbito de su respectiva competencia, implementen y/o fortalezcan acciones de deporte comunitario con enfoque inclusivo, equitativo y accesible, garantizando la participación de niñas, niños, adolescentes y demás personas en situación de vulnerabilidad; asimismo, para que impulsen el mantenimiento, dignificación, rescate y uso responsable de los espacios públicos destinados a la activación física, con el propósito de contribuir al bienestar de la población, la prevención de la violencia y el fortalecimiento de la cohesión social</t>
        </is>
      </c>
      <c r="H577" t="n">
        <v>2</v>
      </c>
      <c r="I577" t="inlineStr">
        <is>
          <t>Pobreza y Política Social</t>
        </is>
      </c>
      <c r="J577" t="n">
        <v>40</v>
      </c>
      <c r="K577" t="n">
        <v>0</v>
      </c>
      <c r="L577" t="n">
        <v>0</v>
      </c>
      <c r="M577" t="n">
        <v>0</v>
      </c>
      <c r="N577">
        <f>SUM(J577:M577)</f>
        <v/>
      </c>
      <c r="O577" s="4">
        <f>SUM(J577:L577)/SUM(J577:M577)</f>
        <v/>
      </c>
      <c r="P577" s="5">
        <f>MAX(J577:L577)/SUM(J577:L577)</f>
        <v/>
      </c>
    </row>
    <row r="578">
      <c r="A578" t="inlineStr">
        <is>
          <t>Segundo año</t>
        </is>
      </c>
      <c r="B578" t="inlineStr">
        <is>
          <t>Tercer periodo</t>
        </is>
      </c>
      <c r="C578" t="n">
        <v>34</v>
      </c>
      <c r="D578" t="n">
        <v>576</v>
      </c>
      <c r="E578" s="3" t="n">
        <v>46163</v>
      </c>
      <c r="F578" t="inlineStr">
        <is>
          <t>Punto de Acuerdo</t>
        </is>
      </c>
      <c r="G578" t="inlineStr">
        <is>
          <t>Acuerdo por el que se exhorta a la secretaría de arte y cultura del estado para que, en coordinación con el instituto poblano de los pueblos indígenas, retome y fortalezca las acciones necesarias para solicitar al gobernador del estado la emisión de la declaratoria de patrimonio cultural de la “tradición textil y de bordado” de los municipios de hueyapan, atempan, teteles de ávila castillo, yaonahuac, tlatlauquitepec, zacapoaxtla y teziutlán, todos del estado; así como para que, en coordinación con las autoridades municipales, implemente las acciones encaminadas a la protección de los diseños textiles tradicionales, la prevención y combate del plagio, el apoyo y fortalecimiento productivo y comercial de las artesanas y artesanos, y la preservación de los saberes comunitarios</t>
        </is>
      </c>
      <c r="H578" t="n">
        <v>8</v>
      </c>
      <c r="I578" t="inlineStr">
        <is>
          <t>Educación y Cultura</t>
        </is>
      </c>
      <c r="J578" t="n">
        <v>40</v>
      </c>
      <c r="K578" t="n">
        <v>0</v>
      </c>
      <c r="L578" t="n">
        <v>0</v>
      </c>
      <c r="M578" t="n">
        <v>0</v>
      </c>
      <c r="N578">
        <f>SUM(J578:M578)</f>
        <v/>
      </c>
      <c r="O578" s="4">
        <f>SUM(J578:L578)/SUM(J578:M578)</f>
        <v/>
      </c>
      <c r="P578" s="5">
        <f>MAX(J578:L578)/SUM(J578:L578)</f>
        <v/>
      </c>
    </row>
    <row r="579">
      <c r="A579" t="inlineStr">
        <is>
          <t>Segundo año</t>
        </is>
      </c>
      <c r="B579" t="inlineStr">
        <is>
          <t>Tercer periodo</t>
        </is>
      </c>
      <c r="C579" t="n">
        <v>35</v>
      </c>
      <c r="D579" t="n">
        <v>577</v>
      </c>
      <c r="E579" s="3" t="n">
        <v>46170</v>
      </c>
      <c r="F579" t="inlineStr">
        <is>
          <t>Iniciativa</t>
        </is>
      </c>
      <c r="G579" t="inlineStr">
        <is>
          <t>Dictamen con minuta de decreto por el cual se autoriza al honorable ayuntamiento del municipio de Zacatlán, la enajenación bajo la figura de donación a título gratuito a favor de las mujeres que así lo solicitaron o a quien legalmente acredite la cesión de sus derechos, con destino a la construcción de casas habitación</t>
        </is>
      </c>
      <c r="H579" t="n">
        <v>7</v>
      </c>
      <c r="I579" t="inlineStr">
        <is>
          <t>Impuestos, Finanzas Públicas, Patrimonio estatal y municipal</t>
        </is>
      </c>
      <c r="J579" t="n">
        <v>37</v>
      </c>
      <c r="K579" t="n">
        <v>0</v>
      </c>
      <c r="L579" t="n">
        <v>0</v>
      </c>
      <c r="M579" t="n">
        <v>4</v>
      </c>
      <c r="N579">
        <f>SUM(J579:M579)</f>
        <v/>
      </c>
      <c r="O579" s="4">
        <f>SUM(J579:L579)/SUM(J579:M579)</f>
        <v/>
      </c>
      <c r="P579" s="5">
        <f>MAX(J579:L579)/SUM(J579:L579)</f>
        <v/>
      </c>
    </row>
    <row r="580">
      <c r="A580" t="inlineStr">
        <is>
          <t>Segundo año</t>
        </is>
      </c>
      <c r="B580" t="inlineStr">
        <is>
          <t>Tercer periodo</t>
        </is>
      </c>
      <c r="C580" t="n">
        <v>36</v>
      </c>
      <c r="D580" t="n">
        <v>578</v>
      </c>
      <c r="E580" s="3" t="n">
        <v>46170</v>
      </c>
      <c r="F580" t="inlineStr">
        <is>
          <t>Iniciativa</t>
        </is>
      </c>
      <c r="G580" t="inlineStr">
        <is>
          <t>Dictamen con minuta de decreto por el cual se autoriza al honorable ayuntamiento del municipio de Tehuacán, la enajenación bajo la figura jurídica de donación a título gratuito a favor gobierno del estado de con destino a la secretaría de educación pública para la construcción y funcionamiento del “bachillerato general oficial emiliano zapata”</t>
        </is>
      </c>
      <c r="H580" t="n">
        <v>7</v>
      </c>
      <c r="I580" t="inlineStr">
        <is>
          <t>Impuestos, Finanzas Públicas, Patrimonio estatal y municipal</t>
        </is>
      </c>
      <c r="J580" t="n">
        <v>38</v>
      </c>
      <c r="K580" t="n">
        <v>0</v>
      </c>
      <c r="L580" t="n">
        <v>0</v>
      </c>
      <c r="M580" t="n">
        <v>3</v>
      </c>
      <c r="N580">
        <f>SUM(J580:M580)</f>
        <v/>
      </c>
      <c r="O580" s="4">
        <f>SUM(J580:L580)/SUM(J580:M580)</f>
        <v/>
      </c>
      <c r="P580" s="5">
        <f>MAX(J580:L580)/SUM(J580:L580)</f>
        <v/>
      </c>
    </row>
    <row r="581">
      <c r="A581" t="inlineStr">
        <is>
          <t>Segundo año</t>
        </is>
      </c>
      <c r="B581" t="inlineStr">
        <is>
          <t>Tercer periodo</t>
        </is>
      </c>
      <c r="C581" t="n">
        <v>37</v>
      </c>
      <c r="D581" t="n">
        <v>579</v>
      </c>
      <c r="E581" s="3" t="n">
        <v>46170</v>
      </c>
      <c r="F581" t="inlineStr">
        <is>
          <t>Iniciativa</t>
        </is>
      </c>
      <c r="G581" t="inlineStr">
        <is>
          <t>Dictamen con minuta de decreto por el cual se autoriza al honorable ayuntamiento del municipio de santa isabel cholula, estado de , la enajenación bajo la figura de donación a título gratuito de una superficie de 1,603.77.06</t>
        </is>
      </c>
      <c r="H581" t="n">
        <v>7</v>
      </c>
      <c r="I581" t="inlineStr">
        <is>
          <t>Impuestos, Finanzas Públicas, Patrimonio estatal y municipal</t>
        </is>
      </c>
      <c r="J581" t="n">
        <v>38</v>
      </c>
      <c r="K581" t="n">
        <v>0</v>
      </c>
      <c r="L581" t="n">
        <v>0</v>
      </c>
      <c r="M581" t="n">
        <v>3</v>
      </c>
      <c r="N581">
        <f>SUM(J581:M581)</f>
        <v/>
      </c>
      <c r="O581" s="4">
        <f>SUM(J581:L581)/SUM(J581:M581)</f>
        <v/>
      </c>
      <c r="P581" s="5">
        <f>MAX(J581:L581)/SUM(J581:L581)</f>
        <v/>
      </c>
    </row>
    <row r="582">
      <c r="A582" t="inlineStr">
        <is>
          <t>Segundo año</t>
        </is>
      </c>
      <c r="B582" t="inlineStr">
        <is>
          <t>Tercer periodo</t>
        </is>
      </c>
      <c r="C582" t="n">
        <v>38</v>
      </c>
      <c r="D582" t="n">
        <v>580</v>
      </c>
      <c r="E582" s="3" t="n">
        <v>46170</v>
      </c>
      <c r="F582" t="inlineStr">
        <is>
          <t>Iniciativa</t>
        </is>
      </c>
      <c r="G582" t="inlineStr">
        <is>
          <t>Dictamen con minuta de decreto por el cual se autoriza al honorable ayuntamiento del municipio de santa isabel cholula, estado de , la enajenación bajo la figura de donación a título gratuito de una superficie de 1,603.77.06</t>
        </is>
      </c>
      <c r="H582" t="n">
        <v>7</v>
      </c>
      <c r="I582" t="inlineStr">
        <is>
          <t>Impuestos, Finanzas Públicas, Patrimonio estatal y municipal</t>
        </is>
      </c>
      <c r="J582" t="n">
        <v>38</v>
      </c>
      <c r="K582" t="n">
        <v>0</v>
      </c>
      <c r="L582" t="n">
        <v>0</v>
      </c>
      <c r="M582" t="n">
        <v>3</v>
      </c>
      <c r="N582">
        <f>SUM(J582:M582)</f>
        <v/>
      </c>
      <c r="O582" s="4">
        <f>SUM(J582:L582)/SUM(J582:M582)</f>
        <v/>
      </c>
      <c r="P582" s="5">
        <f>MAX(J582:L582)/SUM(J582:L582)</f>
        <v/>
      </c>
    </row>
    <row r="583">
      <c r="A583" t="inlineStr">
        <is>
          <t>Segundo año</t>
        </is>
      </c>
      <c r="B583" t="inlineStr">
        <is>
          <t>Tercer periodo</t>
        </is>
      </c>
      <c r="C583" t="n">
        <v>39</v>
      </c>
      <c r="D583" t="n">
        <v>581</v>
      </c>
      <c r="E583" s="3" t="n">
        <v>46170</v>
      </c>
      <c r="F583" t="inlineStr">
        <is>
          <t>Iniciativa</t>
        </is>
      </c>
      <c r="G583" t="inlineStr">
        <is>
          <t>Dictamen con minuta de decreto por el cual se autoriza al honorable ayuntamiento del municipio de tepeaca, la enajenación bajo la figura de donación onerosa de la superficie total de 240,072.062 metros cuadrados</t>
        </is>
      </c>
      <c r="H583" t="n">
        <v>7</v>
      </c>
      <c r="I583" t="inlineStr">
        <is>
          <t>Impuestos, Finanzas Públicas, Patrimonio estatal y municipal</t>
        </is>
      </c>
      <c r="J583" t="n">
        <v>34</v>
      </c>
      <c r="K583" t="n">
        <v>0</v>
      </c>
      <c r="L583" t="n">
        <v>5</v>
      </c>
      <c r="M583" t="n">
        <v>2</v>
      </c>
      <c r="N583">
        <f>SUM(J583:M583)</f>
        <v/>
      </c>
      <c r="O583" s="4">
        <f>SUM(J583:L583)/SUM(J583:M583)</f>
        <v/>
      </c>
      <c r="P583" s="5">
        <f>MAX(J583:L583)/SUM(J583:L583)</f>
        <v/>
      </c>
    </row>
    <row r="584">
      <c r="A584" t="inlineStr">
        <is>
          <t>Segundo año</t>
        </is>
      </c>
      <c r="B584" t="inlineStr">
        <is>
          <t>Tercer periodo</t>
        </is>
      </c>
      <c r="C584" t="n">
        <v>40</v>
      </c>
      <c r="D584" t="n">
        <v>582</v>
      </c>
      <c r="E584" s="3" t="n">
        <v>46170</v>
      </c>
      <c r="F584" t="inlineStr">
        <is>
          <t>Iniciativa</t>
        </is>
      </c>
      <c r="G584" t="inlineStr">
        <is>
          <t>Dictamen con minuta de decreto por el cual se reforma el tercer párrafo del artículo 11 bis, el primer párrafo del 55, el acápite del 68, el 69 y la fracción vii del 122; y se adiciona un tercer párrafo al 55; todos de la ley de los derechos de las niñas, niños y adolescentes del estado de</t>
        </is>
      </c>
      <c r="H584" t="n">
        <v>20</v>
      </c>
      <c r="I584" t="inlineStr">
        <is>
          <t>Justicia y Estado de Derecho en temas de Mujeres</t>
        </is>
      </c>
      <c r="J584" t="n">
        <v>35</v>
      </c>
      <c r="K584" t="n">
        <v>0</v>
      </c>
      <c r="L584" t="n">
        <v>4</v>
      </c>
      <c r="M584" t="n">
        <v>2</v>
      </c>
      <c r="N584">
        <f>SUM(J584:M584)</f>
        <v/>
      </c>
      <c r="O584" s="4">
        <f>SUM(J584:L584)/SUM(J584:M584)</f>
        <v/>
      </c>
      <c r="P584" s="5">
        <f>MAX(J584:L584)/SUM(J584:L584)</f>
        <v/>
      </c>
    </row>
    <row r="585">
      <c r="A585" t="inlineStr">
        <is>
          <t>Segundo año</t>
        </is>
      </c>
      <c r="B585" t="inlineStr">
        <is>
          <t>Tercer periodo</t>
        </is>
      </c>
      <c r="C585" t="n">
        <v>41</v>
      </c>
      <c r="D585" t="n">
        <v>583</v>
      </c>
      <c r="E585" s="3" t="n">
        <v>46170</v>
      </c>
      <c r="F585" t="inlineStr">
        <is>
          <t>Iniciativa</t>
        </is>
      </c>
      <c r="G585" t="inlineStr">
        <is>
          <t>Dictamen con minuta de decreto por el cual se reforma el primer párrafo del artículo 8 de la ley de desarrollo rural</t>
        </is>
      </c>
      <c r="H585" t="n">
        <v>12</v>
      </c>
      <c r="I585" t="inlineStr">
        <is>
          <t>Agricultura, Ganadería y Pesca</t>
        </is>
      </c>
      <c r="J585" t="n">
        <v>39</v>
      </c>
      <c r="K585" t="n">
        <v>0</v>
      </c>
      <c r="L585" t="n">
        <v>0</v>
      </c>
      <c r="M585" t="n">
        <v>2</v>
      </c>
      <c r="N585">
        <f>SUM(J585:M585)</f>
        <v/>
      </c>
      <c r="O585" s="4">
        <f>SUM(J585:L585)/SUM(J585:M585)</f>
        <v/>
      </c>
      <c r="P585" s="5">
        <f>MAX(J585:L585)/SUM(J585:L585)</f>
        <v/>
      </c>
    </row>
    <row r="586">
      <c r="A586" t="inlineStr">
        <is>
          <t>Segundo año</t>
        </is>
      </c>
      <c r="B586" t="inlineStr">
        <is>
          <t>Tercer periodo</t>
        </is>
      </c>
      <c r="C586" t="n">
        <v>42</v>
      </c>
      <c r="D586" t="n">
        <v>584</v>
      </c>
      <c r="E586" s="3" t="n">
        <v>46170</v>
      </c>
      <c r="F586" t="inlineStr">
        <is>
          <t>Iniciativa</t>
        </is>
      </c>
      <c r="G586" t="inlineStr">
        <is>
          <t>Dictamen con minuta de decreto por el cual se reforma la fracción xii del artículo 4 de la ley para la protección del ambiente natural y desarrollo sustentable del estado de</t>
        </is>
      </c>
      <c r="H586" t="n">
        <v>5</v>
      </c>
      <c r="I586" t="inlineStr">
        <is>
          <t>Medio Ambiente</t>
        </is>
      </c>
      <c r="J586" t="n">
        <v>39</v>
      </c>
      <c r="K586" t="n">
        <v>0</v>
      </c>
      <c r="L586" t="n">
        <v>0</v>
      </c>
      <c r="M586" t="n">
        <v>2</v>
      </c>
      <c r="N586">
        <f>SUM(J586:M586)</f>
        <v/>
      </c>
      <c r="O586" s="4">
        <f>SUM(J586:L586)/SUM(J586:M586)</f>
        <v/>
      </c>
      <c r="P586" s="5">
        <f>MAX(J586:L586)/SUM(J586:L586)</f>
        <v/>
      </c>
    </row>
    <row r="587">
      <c r="A587" t="inlineStr">
        <is>
          <t>Segundo año</t>
        </is>
      </c>
      <c r="B587" t="inlineStr">
        <is>
          <t>Tercer periodo</t>
        </is>
      </c>
      <c r="C587" t="n">
        <v>43</v>
      </c>
      <c r="D587" t="n">
        <v>585</v>
      </c>
      <c r="E587" s="3" t="n">
        <v>46170</v>
      </c>
      <c r="F587" t="inlineStr">
        <is>
          <t>Iniciativa</t>
        </is>
      </c>
      <c r="G587" t="inlineStr">
        <is>
          <t>Dictamen con minuta de decreto por el cual se adicionan las fracciones xxvi bis y xxvi ter al artículo 4 y un último párrafo al 94 de la ley para la protección del ambiente natural y desarrollo sustentable del estado de</t>
        </is>
      </c>
      <c r="H587" t="n">
        <v>5</v>
      </c>
      <c r="I587" t="inlineStr">
        <is>
          <t>Medio Ambiente</t>
        </is>
      </c>
      <c r="J587" t="n">
        <v>39</v>
      </c>
      <c r="K587" t="n">
        <v>0</v>
      </c>
      <c r="L587" t="n">
        <v>0</v>
      </c>
      <c r="M587" t="n">
        <v>2</v>
      </c>
      <c r="N587">
        <f>SUM(J587:M587)</f>
        <v/>
      </c>
      <c r="O587" s="4">
        <f>SUM(J587:L587)/SUM(J587:M587)</f>
        <v/>
      </c>
      <c r="P587" s="5">
        <f>MAX(J587:L587)/SUM(J587:L587)</f>
        <v/>
      </c>
    </row>
    <row r="588">
      <c r="A588" t="inlineStr">
        <is>
          <t>Segundo año</t>
        </is>
      </c>
      <c r="B588" t="inlineStr">
        <is>
          <t>Tercer periodo</t>
        </is>
      </c>
      <c r="C588" t="n">
        <v>44</v>
      </c>
      <c r="D588" t="n">
        <v>586</v>
      </c>
      <c r="E588" s="3" t="n">
        <v>46170</v>
      </c>
      <c r="F588" t="inlineStr">
        <is>
          <t>Iniciativa</t>
        </is>
      </c>
      <c r="G588" t="inlineStr">
        <is>
          <t>Dictamen con minuta de decreto por el cual se reforma la fracción x del artículo 9 de la ley del sistema anticorrupción del estado de</t>
        </is>
      </c>
      <c r="H588" t="n">
        <v>10</v>
      </c>
      <c r="I588" t="inlineStr">
        <is>
          <t>Transparencia y Rendición de Cuentas</t>
        </is>
      </c>
      <c r="J588" t="n">
        <v>39</v>
      </c>
      <c r="K588" t="n">
        <v>0</v>
      </c>
      <c r="L588" t="n">
        <v>0</v>
      </c>
      <c r="M588" t="n">
        <v>2</v>
      </c>
      <c r="N588">
        <f>SUM(J588:M588)</f>
        <v/>
      </c>
      <c r="O588" s="4">
        <f>SUM(J588:L588)/SUM(J588:M588)</f>
        <v/>
      </c>
      <c r="P588" s="5">
        <f>MAX(J588:L588)/SUM(J588:L588)</f>
        <v/>
      </c>
    </row>
    <row r="589">
      <c r="A589" t="inlineStr">
        <is>
          <t>Segundo año</t>
        </is>
      </c>
      <c r="B589" t="inlineStr">
        <is>
          <t>Tercer periodo</t>
        </is>
      </c>
      <c r="C589" t="n">
        <v>45</v>
      </c>
      <c r="D589" t="n">
        <v>587</v>
      </c>
      <c r="E589" s="3" t="n">
        <v>46170</v>
      </c>
      <c r="F589" t="inlineStr">
        <is>
          <t>Punto de Acuerdo</t>
        </is>
      </c>
      <c r="G589" t="inlineStr">
        <is>
          <t>Acuerdo por el que se exhorta a los doscientos doce ayuntamientos y cinco concejos municipales del estado para que, en el ámbito de su competencia y en atención al protocolo nacional de actuación “primer respondiente”, fortalezcan la coordinación institucional</t>
        </is>
      </c>
      <c r="H589" t="n">
        <v>3</v>
      </c>
      <c r="I589" t="inlineStr">
        <is>
          <t>Seguridad Pública, Protección Civil y Narcotráfico</t>
        </is>
      </c>
      <c r="J589" t="n">
        <v>39</v>
      </c>
      <c r="K589" t="n">
        <v>0</v>
      </c>
      <c r="L589" t="n">
        <v>0</v>
      </c>
      <c r="M589" t="n">
        <v>2</v>
      </c>
      <c r="N589">
        <f>SUM(J589:M589)</f>
        <v/>
      </c>
      <c r="O589" s="4">
        <f>SUM(J589:L589)/SUM(J589:M589)</f>
        <v/>
      </c>
      <c r="P589" s="5">
        <f>MAX(J589:L589)/SUM(J589:L589)</f>
        <v/>
      </c>
    </row>
    <row r="590">
      <c r="A590" t="inlineStr">
        <is>
          <t>Segundo año</t>
        </is>
      </c>
      <c r="B590" t="inlineStr">
        <is>
          <t>Tercer periodo</t>
        </is>
      </c>
      <c r="C590" t="n">
        <v>46</v>
      </c>
      <c r="D590" t="n">
        <v>588</v>
      </c>
      <c r="E590" s="3" t="n">
        <v>46170</v>
      </c>
      <c r="F590" t="inlineStr">
        <is>
          <t>Punto de Acuerdo</t>
        </is>
      </c>
      <c r="G590" t="inlineStr">
        <is>
          <t>Acuerdo por el que se exhorta a la secretaría de agricultura y desarrollo rural del estado, para que, en coordinación con los doscientos doce ayuntamientos y cinco concejos municipales, fortalezca las acciones de capacitación, tecnificación y entrega de insumos en favor de las y los pequeños productores agrícolas</t>
        </is>
      </c>
      <c r="H590" t="n">
        <v>12</v>
      </c>
      <c r="I590" t="inlineStr">
        <is>
          <t>Agricultura, Ganadería y Pesca</t>
        </is>
      </c>
      <c r="J590" t="n">
        <v>39</v>
      </c>
      <c r="K590" t="n">
        <v>0</v>
      </c>
      <c r="L590" t="n">
        <v>0</v>
      </c>
      <c r="M590" t="n">
        <v>2</v>
      </c>
      <c r="N590">
        <f>SUM(J590:M590)</f>
        <v/>
      </c>
      <c r="O590" s="4">
        <f>SUM(J590:L590)/SUM(J590:M590)</f>
        <v/>
      </c>
      <c r="P590" s="5">
        <f>MAX(J590:L590)/SUM(J590:L590)</f>
        <v/>
      </c>
    </row>
    <row r="591">
      <c r="A591" t="inlineStr">
        <is>
          <t>Segundo año</t>
        </is>
      </c>
      <c r="B591" t="inlineStr">
        <is>
          <t>Tercer periodo</t>
        </is>
      </c>
      <c r="C591" t="n">
        <v>47</v>
      </c>
      <c r="D591" t="n">
        <v>589</v>
      </c>
      <c r="E591" s="3" t="n">
        <v>46170</v>
      </c>
      <c r="F591" t="inlineStr">
        <is>
          <t>Punto de Acuerdo</t>
        </is>
      </c>
      <c r="G591" t="inlineStr">
        <is>
          <t>Acuerdo por el que se exhorta a la secretaría de medio ambiente, desarrollo sustentable y ordenamiento territorial del estado, para que implemente campañas informativas sobre el manejo y uso del fuego, así como la prohibición de cualquier quema durante la temporada alta de estiaje</t>
        </is>
      </c>
      <c r="H591" t="n">
        <v>5</v>
      </c>
      <c r="I591" t="inlineStr">
        <is>
          <t>Medio Ambiente</t>
        </is>
      </c>
      <c r="J591" t="n">
        <v>39</v>
      </c>
      <c r="K591" t="n">
        <v>0</v>
      </c>
      <c r="L591" t="n">
        <v>0</v>
      </c>
      <c r="M591" t="n">
        <v>2</v>
      </c>
      <c r="N591">
        <f>SUM(J591:M591)</f>
        <v/>
      </c>
      <c r="O591" s="4">
        <f>SUM(J591:L591)/SUM(J591:M591)</f>
        <v/>
      </c>
      <c r="P591" s="5">
        <f>MAX(J591:L591)/SUM(J591:L591)</f>
        <v/>
      </c>
    </row>
    <row r="592">
      <c r="A592" t="inlineStr">
        <is>
          <t>Segundo año</t>
        </is>
      </c>
      <c r="B592" t="inlineStr">
        <is>
          <t>Tercer periodo</t>
        </is>
      </c>
      <c r="C592" t="n">
        <v>48</v>
      </c>
      <c r="D592" t="n">
        <v>590</v>
      </c>
      <c r="E592" s="3" t="n">
        <v>46170</v>
      </c>
      <c r="F592" t="inlineStr">
        <is>
          <t>Punto de Acuerdo</t>
        </is>
      </c>
      <c r="G592" t="inlineStr">
        <is>
          <t>Acuerdo por el que se exhorta a la secretaría de salud del estado, para que gestione la firma de un convenio de colaboración con el instituto nacional de lenguas indígenas (inali)</t>
        </is>
      </c>
      <c r="H592" t="n">
        <v>6</v>
      </c>
      <c r="I592" t="inlineStr">
        <is>
          <t>Salud</t>
        </is>
      </c>
      <c r="J592" t="n">
        <v>39</v>
      </c>
      <c r="K592" t="n">
        <v>0</v>
      </c>
      <c r="L592" t="n">
        <v>0</v>
      </c>
      <c r="M592" t="n">
        <v>2</v>
      </c>
      <c r="N592">
        <f>SUM(J592:M592)</f>
        <v/>
      </c>
      <c r="O592" s="4">
        <f>SUM(J592:L592)/SUM(J592:M592)</f>
        <v/>
      </c>
      <c r="P592" s="5">
        <f>MAX(J592:L592)/SUM(J592:L592)</f>
        <v/>
      </c>
    </row>
    <row r="593">
      <c r="A593" t="inlineStr">
        <is>
          <t>Segundo año</t>
        </is>
      </c>
      <c r="B593" t="inlineStr">
        <is>
          <t>Tercer periodo</t>
        </is>
      </c>
      <c r="C593" t="n">
        <v>49</v>
      </c>
      <c r="D593" t="n">
        <v>591</v>
      </c>
      <c r="E593" s="3" t="n">
        <v>46170</v>
      </c>
      <c r="F593" t="inlineStr">
        <is>
          <t>Punto de Acuerdo</t>
        </is>
      </c>
      <c r="G593" t="inlineStr">
        <is>
          <t>Acuerdo por el que se exhorta a la secretaría de medio ambiente, desarrollo sustentable y ordenamiento territorial, y a los doscientos doce ayuntamientos y cinco concejos municipales del estado, para que en el ámbito de su competencia adecuen sus acciones en materia ambiental</t>
        </is>
      </c>
      <c r="H593" t="n">
        <v>5</v>
      </c>
      <c r="I593" t="inlineStr">
        <is>
          <t>Medio Ambiente</t>
        </is>
      </c>
      <c r="J593" t="n">
        <v>39</v>
      </c>
      <c r="K593" t="n">
        <v>0</v>
      </c>
      <c r="L593" t="n">
        <v>0</v>
      </c>
      <c r="M593" t="n">
        <v>2</v>
      </c>
      <c r="N593">
        <f>SUM(J593:M593)</f>
        <v/>
      </c>
      <c r="O593" s="4">
        <f>SUM(J593:L593)/SUM(J593:M593)</f>
        <v/>
      </c>
      <c r="P593" s="5">
        <f>MAX(J593:L593)/SUM(J593:L593)</f>
        <v/>
      </c>
    </row>
    <row r="594">
      <c r="A594" t="inlineStr">
        <is>
          <t>Segundo año</t>
        </is>
      </c>
      <c r="B594" t="inlineStr">
        <is>
          <t>Tercer periodo</t>
        </is>
      </c>
      <c r="C594" t="n">
        <v>50</v>
      </c>
      <c r="D594" t="n">
        <v>592</v>
      </c>
      <c r="E594" s="3" t="n">
        <v>46170</v>
      </c>
      <c r="F594" t="inlineStr">
        <is>
          <t>Punto de Acuerdo</t>
        </is>
      </c>
      <c r="G594" t="inlineStr">
        <is>
          <t>Acuerdo por el que se exhorta al comité coordinador del sistema estatal anticorrupción, para que garantice el establecimiento, integración, conexión y adecuado funcionamiento de la plataforma digital estatal</t>
        </is>
      </c>
      <c r="H594" t="n">
        <v>10</v>
      </c>
      <c r="I594" t="inlineStr">
        <is>
          <t>Transparencia y Rendición de Cuentas</t>
        </is>
      </c>
      <c r="J594" t="n">
        <v>39</v>
      </c>
      <c r="K594" t="n">
        <v>0</v>
      </c>
      <c r="L594" t="n">
        <v>0</v>
      </c>
      <c r="M594" t="n">
        <v>2</v>
      </c>
      <c r="N594">
        <f>SUM(J594:M594)</f>
        <v/>
      </c>
      <c r="O594" s="4">
        <f>SUM(J594:L594)/SUM(J594:M594)</f>
        <v/>
      </c>
      <c r="P594" s="5">
        <f>MAX(J594:L594)/SUM(J594:L594)</f>
        <v/>
      </c>
    </row>
    <row r="595">
      <c r="A595" t="inlineStr">
        <is>
          <t>Segundo año</t>
        </is>
      </c>
      <c r="B595" t="inlineStr">
        <is>
          <t>Tercer periodo</t>
        </is>
      </c>
      <c r="C595" t="n">
        <v>51</v>
      </c>
      <c r="D595" t="n">
        <v>593</v>
      </c>
      <c r="E595" s="3" t="n">
        <v>46170</v>
      </c>
      <c r="F595" t="inlineStr">
        <is>
          <t>Punto de Acuerdo</t>
        </is>
      </c>
      <c r="G595" t="inlineStr">
        <is>
          <t>Acuerdo por el que se exhorta a los doscientos doce ayuntamientos y cinco concejos municipales del estado, para que realicen una revisión y diagnóstico de la señalética vial y de movilidad</t>
        </is>
      </c>
      <c r="H595" t="n">
        <v>11</v>
      </c>
      <c r="I595" t="inlineStr">
        <is>
          <t>Infraestructura, Movilidad y Transporte</t>
        </is>
      </c>
      <c r="J595" t="n">
        <v>39</v>
      </c>
      <c r="K595" t="n">
        <v>0</v>
      </c>
      <c r="L595" t="n">
        <v>0</v>
      </c>
      <c r="M595" t="n">
        <v>2</v>
      </c>
      <c r="N595">
        <f>SUM(J595:M595)</f>
        <v/>
      </c>
      <c r="O595" s="4">
        <f>SUM(J595:L595)/SUM(J595:M595)</f>
        <v/>
      </c>
      <c r="P595" s="5">
        <f>MAX(J595:L595)/SUM(J595:L595)</f>
        <v/>
      </c>
    </row>
    <row r="596">
      <c r="A596" t="inlineStr">
        <is>
          <t>Segundo año</t>
        </is>
      </c>
      <c r="B596" t="inlineStr">
        <is>
          <t>Tercer periodo</t>
        </is>
      </c>
      <c r="C596" t="n">
        <v>52</v>
      </c>
      <c r="D596" t="n">
        <v>594</v>
      </c>
      <c r="E596" s="3" t="n">
        <v>46170</v>
      </c>
      <c r="F596" t="inlineStr">
        <is>
          <t>Punto de Acuerdo</t>
        </is>
      </c>
      <c r="G596" t="inlineStr">
        <is>
          <t>Acuerdo por el que se exhorta a la secretaría de movilidad y transporte y a los doscientos doce ayuntamientos y cinco concejos municipales del estado, para que de manera coordinada y en el ámbito de su respectiva competencia, implementen campañas de información y concientización en materia de educación y seguridad vial</t>
        </is>
      </c>
      <c r="H596" t="n">
        <v>11</v>
      </c>
      <c r="I596" t="inlineStr">
        <is>
          <t>Infraestructura, Movilidad y Transporte</t>
        </is>
      </c>
      <c r="J596" t="n">
        <v>39</v>
      </c>
      <c r="K596" t="n">
        <v>0</v>
      </c>
      <c r="L596" t="n">
        <v>0</v>
      </c>
      <c r="M596" t="n">
        <v>2</v>
      </c>
      <c r="N596">
        <f>SUM(J596:M596)</f>
        <v/>
      </c>
      <c r="O596" s="4">
        <f>SUM(J596:L596)/SUM(J596:M596)</f>
        <v/>
      </c>
      <c r="P596" s="5">
        <f>MAX(J596:L596)/SUM(J596:L596)</f>
        <v/>
      </c>
    </row>
    <row r="597">
      <c r="A597" t="inlineStr">
        <is>
          <t>Segundo año</t>
        </is>
      </c>
      <c r="B597" t="inlineStr">
        <is>
          <t>Tercer periodo</t>
        </is>
      </c>
      <c r="C597" t="n">
        <v>53</v>
      </c>
      <c r="D597" t="n">
        <v>595</v>
      </c>
      <c r="E597" s="3" t="n">
        <v>46170</v>
      </c>
      <c r="F597" t="inlineStr">
        <is>
          <t>Punto de Acuerdo</t>
        </is>
      </c>
      <c r="G597" t="inlineStr">
        <is>
          <t>Acuerdo por el que se exhorta a los doscientos doce ayuntamientos y cinco concejos municipales del estado para que, en ejercicio de sus facultades recaudatorias, se apeguen estrictamente a lo previsto en sus respectivas leyes de ingresos municipales vigentes</t>
        </is>
      </c>
      <c r="H597" t="n">
        <v>7</v>
      </c>
      <c r="I597" t="inlineStr">
        <is>
          <t>Impuestos, Finanzas Públicas, Patrimonio estatal y municipal</t>
        </is>
      </c>
      <c r="J597" t="n">
        <v>39</v>
      </c>
      <c r="K597" t="n">
        <v>0</v>
      </c>
      <c r="L597" t="n">
        <v>0</v>
      </c>
      <c r="M597" t="n">
        <v>2</v>
      </c>
      <c r="N597">
        <f>SUM(J597:M597)</f>
        <v/>
      </c>
      <c r="O597" s="4">
        <f>SUM(J597:L597)/SUM(J597:M597)</f>
        <v/>
      </c>
      <c r="P597" s="5">
        <f>MAX(J597:L597)/SUM(J597:L597)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2026-06-09T06:06:48Z</dcterms:created>
  <dcterms:modified xsi:type="dcterms:W3CDTF">2026-06-09T06:06:48Z</dcterms:modified>
</cp:coreProperties>
</file>